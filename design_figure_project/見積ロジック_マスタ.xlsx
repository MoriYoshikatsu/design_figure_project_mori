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mori\design_figure_project\"/>
    </mc:Choice>
  </mc:AlternateContent>
  <xr:revisionPtr revIDLastSave="0" documentId="13_ncr:1_{7AB16581-12A0-4D27-8924-E666B640B79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マスタ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  <c r="D41" i="2"/>
  <c r="D42" i="2"/>
  <c r="D43" i="2"/>
  <c r="D44" i="2"/>
  <c r="D45" i="2"/>
  <c r="D46" i="2"/>
  <c r="D47" i="2"/>
  <c r="E67" i="2"/>
  <c r="E68" i="2"/>
  <c r="E69" i="2"/>
  <c r="H103" i="2"/>
  <c r="H104" i="2"/>
  <c r="E74" i="2"/>
  <c r="E75" i="2"/>
  <c r="E77" i="2" s="1"/>
  <c r="H106" i="2"/>
  <c r="H107" i="2"/>
  <c r="H108" i="2"/>
  <c r="H109" i="2"/>
  <c r="E80" i="2"/>
  <c r="E81" i="2"/>
  <c r="E82" i="2"/>
  <c r="E83" i="2"/>
  <c r="E84" i="2"/>
  <c r="E88" i="2"/>
  <c r="E71" i="2" l="1"/>
</calcChain>
</file>

<file path=xl/sharedStrings.xml><?xml version="1.0" encoding="utf-8"?>
<sst xmlns="http://schemas.openxmlformats.org/spreadsheetml/2006/main" count="180" uniqueCount="129">
  <si>
    <t>円/件</t>
    <rPh sb="0" eb="1">
      <t>エン</t>
    </rPh>
    <rPh sb="2" eb="3">
      <t>ケン</t>
    </rPh>
    <phoneticPr fontId="2"/>
  </si>
  <si>
    <t>【固定性経費】</t>
    <rPh sb="1" eb="4">
      <t>コテイセイ</t>
    </rPh>
    <rPh sb="4" eb="6">
      <t>ケイヒ</t>
    </rPh>
    <phoneticPr fontId="2"/>
  </si>
  <si>
    <t>円/本</t>
    <rPh sb="0" eb="1">
      <t>エン</t>
    </rPh>
    <rPh sb="2" eb="3">
      <t>ホン</t>
    </rPh>
    <phoneticPr fontId="2"/>
  </si>
  <si>
    <t>【梱包作業費】roundup　梱包作業費÷良品率 10円単位切上</t>
    <rPh sb="1" eb="3">
      <t>コンポウ</t>
    </rPh>
    <rPh sb="3" eb="5">
      <t>サギョウ</t>
    </rPh>
    <rPh sb="5" eb="6">
      <t>ヒ</t>
    </rPh>
    <phoneticPr fontId="2"/>
  </si>
  <si>
    <t>（システムで変更可）</t>
  </si>
  <si>
    <t>良品率</t>
    <rPh sb="0" eb="3">
      <t>リョウヒンリツ</t>
    </rPh>
    <phoneticPr fontId="2"/>
  </si>
  <si>
    <t>高精度MFD30</t>
    <rPh sb="0" eb="3">
      <t>コウセイド</t>
    </rPh>
    <phoneticPr fontId="2"/>
  </si>
  <si>
    <t>高精度MFD20</t>
    <rPh sb="0" eb="3">
      <t>コウセイド</t>
    </rPh>
    <phoneticPr fontId="2"/>
  </si>
  <si>
    <t>2本分（システムで変更可）</t>
    <rPh sb="1" eb="3">
      <t>ホンブン</t>
    </rPh>
    <phoneticPr fontId="2"/>
  </si>
  <si>
    <t>MFD30</t>
    <phoneticPr fontId="2"/>
  </si>
  <si>
    <t>MFD20</t>
    <phoneticPr fontId="2"/>
  </si>
  <si>
    <t>円/回</t>
    <rPh sb="0" eb="1">
      <t>エン</t>
    </rPh>
    <rPh sb="2" eb="3">
      <t>カイ</t>
    </rPh>
    <phoneticPr fontId="2"/>
  </si>
  <si>
    <t>MFDc</t>
    <phoneticPr fontId="2"/>
  </si>
  <si>
    <t>TEC加工費</t>
    <rPh sb="3" eb="6">
      <t>カコウヒ</t>
    </rPh>
    <phoneticPr fontId="2"/>
  </si>
  <si>
    <t>【TEC/MFDc加工費】roundup｛選択により、どれか１種類＋梱包作業費｝÷良品率 10円単位切上</t>
    <rPh sb="9" eb="12">
      <t>カコウヒ</t>
    </rPh>
    <rPh sb="21" eb="23">
      <t>センタク</t>
    </rPh>
    <rPh sb="31" eb="33">
      <t>シュルイ</t>
    </rPh>
    <rPh sb="34" eb="39">
      <t>コンポウサギョウヒ</t>
    </rPh>
    <phoneticPr fontId="2"/>
  </si>
  <si>
    <t>個</t>
  </si>
  <si>
    <t>円/個</t>
  </si>
  <si>
    <t>運賃</t>
  </si>
  <si>
    <t>段ボール（Ａ4）</t>
  </si>
  <si>
    <t>小計</t>
    <rPh sb="0" eb="2">
      <t>ショウケイ</t>
    </rPh>
    <phoneticPr fontId="2"/>
  </si>
  <si>
    <t>段ボール小</t>
  </si>
  <si>
    <t>ﾌｧｲﾊﾞｰﾄﾚｰ</t>
  </si>
  <si>
    <t>出荷関連</t>
  </si>
  <si>
    <t>円/個</t>
    <rPh sb="2" eb="3">
      <t>コ</t>
    </rPh>
    <phoneticPr fontId="2"/>
  </si>
  <si>
    <t>補強作業費</t>
    <rPh sb="0" eb="2">
      <t>ホキョウ</t>
    </rPh>
    <rPh sb="2" eb="5">
      <t>サギョウヒ</t>
    </rPh>
    <phoneticPr fontId="2"/>
  </si>
  <si>
    <t>融着加工費</t>
    <rPh sb="0" eb="2">
      <t>ユウチャク</t>
    </rPh>
    <rPh sb="2" eb="5">
      <t>カコウヒ</t>
    </rPh>
    <phoneticPr fontId="2"/>
  </si>
  <si>
    <t>回</t>
  </si>
  <si>
    <t>円/回</t>
  </si>
  <si>
    <t>研摩ｼｰﾄ費</t>
  </si>
  <si>
    <t>【融着部加工費】roundup｛融着加工費＋補強作業費＋部品代｝÷良品率 10円単位切上</t>
    <rPh sb="1" eb="4">
      <t>ユウチャクブ</t>
    </rPh>
    <rPh sb="4" eb="7">
      <t>カコウヒ</t>
    </rPh>
    <phoneticPr fontId="2"/>
  </si>
  <si>
    <t>接着材費（353ND）</t>
  </si>
  <si>
    <t>研摩関連</t>
  </si>
  <si>
    <t>円</t>
    <rPh sb="0" eb="1">
      <t>エン</t>
    </rPh>
    <phoneticPr fontId="2"/>
  </si>
  <si>
    <t>時間</t>
  </si>
  <si>
    <t>1本あたり</t>
  </si>
  <si>
    <t>出荷検査</t>
  </si>
  <si>
    <t>再研摩率20%</t>
  </si>
  <si>
    <t>6本あたり</t>
  </si>
  <si>
    <t>研摩</t>
  </si>
  <si>
    <t>円/本</t>
    <rPh sb="2" eb="3">
      <t>ホン</t>
    </rPh>
    <phoneticPr fontId="2"/>
  </si>
  <si>
    <t>検査作業</t>
    <rPh sb="0" eb="2">
      <t>ケンサ</t>
    </rPh>
    <rPh sb="2" eb="4">
      <t>サギョウ</t>
    </rPh>
    <phoneticPr fontId="2"/>
  </si>
  <si>
    <t>1回あたり最大20端末</t>
  </si>
  <si>
    <t>1回あたり</t>
  </si>
  <si>
    <t>硬化</t>
  </si>
  <si>
    <t>20本分（システムで変更可）</t>
    <rPh sb="2" eb="4">
      <t>ホンブン</t>
    </rPh>
    <phoneticPr fontId="2"/>
  </si>
  <si>
    <t>硬化作業</t>
    <rPh sb="0" eb="2">
      <t>コウカ</t>
    </rPh>
    <rPh sb="2" eb="4">
      <t>サギョウ</t>
    </rPh>
    <phoneticPr fontId="2"/>
  </si>
  <si>
    <t>2本あたり</t>
  </si>
  <si>
    <t>TEC加工</t>
  </si>
  <si>
    <t>参考</t>
  </si>
  <si>
    <t>10本（システムで変更可）</t>
    <rPh sb="2" eb="3">
      <t>ホン</t>
    </rPh>
    <phoneticPr fontId="2"/>
  </si>
  <si>
    <t>研磨作業</t>
    <rPh sb="0" eb="4">
      <t>ケンマサギョウ</t>
    </rPh>
    <phoneticPr fontId="2"/>
  </si>
  <si>
    <t>作業費</t>
    <rPh sb="0" eb="3">
      <t>サギョウヒ</t>
    </rPh>
    <phoneticPr fontId="2"/>
  </si>
  <si>
    <t>12本分（システムで変更可）</t>
    <rPh sb="2" eb="3">
      <t>ホン</t>
    </rPh>
    <rPh sb="3" eb="4">
      <t>ブン</t>
    </rPh>
    <rPh sb="10" eb="13">
      <t>ヘンコウカ</t>
    </rPh>
    <phoneticPr fontId="2"/>
  </si>
  <si>
    <t>研磨シート</t>
    <rPh sb="0" eb="2">
      <t>ケンマ</t>
    </rPh>
    <phoneticPr fontId="2"/>
  </si>
  <si>
    <t>その他諸作業</t>
  </si>
  <si>
    <t>50本分（システムで変更可）</t>
    <rPh sb="2" eb="3">
      <t>ホン</t>
    </rPh>
    <rPh sb="3" eb="4">
      <t>ブン</t>
    </rPh>
    <rPh sb="10" eb="12">
      <t>ヘンコウ</t>
    </rPh>
    <rPh sb="12" eb="13">
      <t>カ</t>
    </rPh>
    <phoneticPr fontId="2"/>
  </si>
  <si>
    <t>接着剤等</t>
    <rPh sb="0" eb="4">
      <t>セッチャクザイトウ</t>
    </rPh>
    <phoneticPr fontId="2"/>
  </si>
  <si>
    <t>消耗品</t>
    <rPh sb="0" eb="3">
      <t>ショウモウヒン</t>
    </rPh>
    <phoneticPr fontId="2"/>
  </si>
  <si>
    <t>端末加工</t>
  </si>
  <si>
    <t>【コネクタ加工費】roundup｛消耗品費（接着剤＋研磨シート）＋作業費（研磨＋硬化＋検査）＋部品代｝÷良品率 10円単位切上</t>
    <rPh sb="5" eb="8">
      <t>カコウヒ</t>
    </rPh>
    <rPh sb="17" eb="20">
      <t>ショウモウヒン</t>
    </rPh>
    <rPh sb="20" eb="21">
      <t>ヒ</t>
    </rPh>
    <rPh sb="22" eb="25">
      <t>セッチャクザイ</t>
    </rPh>
    <rPh sb="26" eb="28">
      <t>ケンマ</t>
    </rPh>
    <rPh sb="33" eb="36">
      <t>サギョウヒ</t>
    </rPh>
    <rPh sb="37" eb="39">
      <t>ケンマ</t>
    </rPh>
    <rPh sb="40" eb="42">
      <t>コウカ</t>
    </rPh>
    <rPh sb="43" eb="45">
      <t>ケンサ</t>
    </rPh>
    <rPh sb="47" eb="50">
      <t>ブヒンダイ</t>
    </rPh>
    <rPh sb="52" eb="55">
      <t>リョウヒンリツ</t>
    </rPh>
    <rPh sb="58" eb="61">
      <t>エンタンイ</t>
    </rPh>
    <rPh sb="61" eb="63">
      <t>キリアゲ</t>
    </rPh>
    <phoneticPr fontId="2"/>
  </si>
  <si>
    <t>ファイバ加工</t>
  </si>
  <si>
    <t>加工時間</t>
  </si>
  <si>
    <t>円（システムで変更可）</t>
  </si>
  <si>
    <t>時間チャージ</t>
    <rPh sb="0" eb="2">
      <t>ジカン</t>
    </rPh>
    <phoneticPr fontId="2"/>
  </si>
  <si>
    <t>その他</t>
  </si>
  <si>
    <t>PMF用ｽﾃｯﾌﾟﾌｪﾙｰﾙ</t>
  </si>
  <si>
    <t>PMF用ﾌｪﾙｰﾙ</t>
  </si>
  <si>
    <t>PMF用FC/APC</t>
  </si>
  <si>
    <t>PMF用SCﾊｳｼﾞﾝｸﾞ</t>
  </si>
  <si>
    <t>PMF用FCﾊｳｼﾞﾝｸﾞ</t>
  </si>
  <si>
    <t>ｽﾃｯﾌﾟﾌｪﾙｰﾙ</t>
  </si>
  <si>
    <t>ﾌｪﾙｰﾙ</t>
  </si>
  <si>
    <t>FCﾊｳｼﾞﾝｸﾞ(APC用)</t>
  </si>
  <si>
    <t>SCﾊｳｼﾞﾝｸﾞ</t>
  </si>
  <si>
    <t>FCﾊｳｼﾞﾝｸﾞ</t>
  </si>
  <si>
    <t>部品代</t>
    <rPh sb="0" eb="3">
      <t>ブヒンダイ</t>
    </rPh>
    <phoneticPr fontId="2"/>
  </si>
  <si>
    <t>SC/APC PMF</t>
    <phoneticPr fontId="2"/>
  </si>
  <si>
    <t>SFC/PC PMF</t>
    <phoneticPr fontId="2"/>
  </si>
  <si>
    <t>SC/APC</t>
    <phoneticPr fontId="2"/>
  </si>
  <si>
    <t>SC/PC</t>
    <phoneticPr fontId="2"/>
  </si>
  <si>
    <t>FC/APC PMF</t>
    <phoneticPr fontId="2"/>
  </si>
  <si>
    <t>FC/PC PMF</t>
    <phoneticPr fontId="2"/>
  </si>
  <si>
    <t>FC/APC</t>
    <phoneticPr fontId="2"/>
  </si>
  <si>
    <t>⑥総合計表示（請求額/決済額）</t>
    <rPh sb="1" eb="4">
      <t>ソウゴウケイ</t>
    </rPh>
    <rPh sb="4" eb="6">
      <t>ヒョウジ</t>
    </rPh>
    <rPh sb="7" eb="9">
      <t>セイキュウ</t>
    </rPh>
    <rPh sb="9" eb="10">
      <t>ガク</t>
    </rPh>
    <rPh sb="11" eb="13">
      <t>ケッサイ</t>
    </rPh>
    <rPh sb="13" eb="14">
      <t>ガク</t>
    </rPh>
    <phoneticPr fontId="2"/>
  </si>
  <si>
    <t>円/個（部品代のみ）</t>
    <rPh sb="0" eb="1">
      <t>エン</t>
    </rPh>
    <rPh sb="2" eb="3">
      <t>コ</t>
    </rPh>
    <rPh sb="4" eb="7">
      <t>ブヒンダイ</t>
    </rPh>
    <phoneticPr fontId="2"/>
  </si>
  <si>
    <t>FC/PC</t>
    <phoneticPr fontId="2"/>
  </si>
  <si>
    <t>コネクタ部品</t>
    <rPh sb="4" eb="6">
      <t>ブヒン</t>
    </rPh>
    <phoneticPr fontId="2"/>
  </si>
  <si>
    <t>⑤消費税表示</t>
    <rPh sb="1" eb="4">
      <t>ショウヒゼイ</t>
    </rPh>
    <rPh sb="4" eb="6">
      <t>ヒョウジ</t>
    </rPh>
    <phoneticPr fontId="2"/>
  </si>
  <si>
    <t>④合計金額＋荷造運賃＋値引き</t>
    <rPh sb="1" eb="5">
      <t>ゴウケイキンガク</t>
    </rPh>
    <rPh sb="6" eb="10">
      <t>ニヅクリウンチン</t>
    </rPh>
    <rPh sb="11" eb="13">
      <t>ネビ</t>
    </rPh>
    <phoneticPr fontId="2"/>
  </si>
  <si>
    <t>SUSﾊﾟｲﾌﾟ</t>
  </si>
  <si>
    <t>③再度、合計金額を計算　単価×数量</t>
    <rPh sb="1" eb="3">
      <t>サイド</t>
    </rPh>
    <rPh sb="4" eb="8">
      <t>ゴウケイキンガク</t>
    </rPh>
    <rPh sb="9" eb="11">
      <t>ケイサン</t>
    </rPh>
    <rPh sb="12" eb="14">
      <t>タンカ</t>
    </rPh>
    <rPh sb="15" eb="17">
      <t>スウリョウ</t>
    </rPh>
    <phoneticPr fontId="2"/>
  </si>
  <si>
    <t>補強ｽﾘｰﾌﾞ</t>
  </si>
  <si>
    <t>補強スリーブ</t>
    <rPh sb="0" eb="2">
      <t>ホキョウ</t>
    </rPh>
    <phoneticPr fontId="2"/>
  </si>
  <si>
    <t>②単価　　ROUNDUP［{（固定性経費＋変動性経費）×管理費×数量ディスカウント×顧客別仕切}÷数量］ ※1ドル/100円単位切上</t>
    <rPh sb="1" eb="3">
      <t>タンカ</t>
    </rPh>
    <rPh sb="49" eb="51">
      <t>スウリョウ</t>
    </rPh>
    <rPh sb="61" eb="62">
      <t>エン</t>
    </rPh>
    <rPh sb="62" eb="64">
      <t>タンイ</t>
    </rPh>
    <rPh sb="64" eb="66">
      <t>キリアゲ</t>
    </rPh>
    <phoneticPr fontId="2"/>
  </si>
  <si>
    <t>①小計　　{（固定性経費＋変動性経費）×管理費×数量ディスカウント×顧客別仕切}</t>
    <rPh sb="1" eb="3">
      <t>ショウケイ</t>
    </rPh>
    <rPh sb="7" eb="10">
      <t>コテイセイ</t>
    </rPh>
    <rPh sb="10" eb="12">
      <t>ケイヒ</t>
    </rPh>
    <rPh sb="13" eb="16">
      <t>ヘンドウセイ</t>
    </rPh>
    <rPh sb="16" eb="18">
      <t>ケイヒ</t>
    </rPh>
    <rPh sb="20" eb="23">
      <t>カンリヒ</t>
    </rPh>
    <rPh sb="24" eb="26">
      <t>スウリョウ</t>
    </rPh>
    <rPh sb="34" eb="36">
      <t>コキャク</t>
    </rPh>
    <rPh sb="36" eb="37">
      <t>ベツ</t>
    </rPh>
    <rPh sb="37" eb="39">
      <t>シキリ</t>
    </rPh>
    <phoneticPr fontId="2"/>
  </si>
  <si>
    <t>計算手順</t>
    <rPh sb="0" eb="4">
      <t>ケイサンテジュン</t>
    </rPh>
    <phoneticPr fontId="2"/>
  </si>
  <si>
    <t>円/m</t>
  </si>
  <si>
    <t>ﾊｲﾄﾚﾙﾁｭｰﾌﾞ</t>
  </si>
  <si>
    <t>保護チューブ</t>
    <rPh sb="0" eb="2">
      <t>ホゴ</t>
    </rPh>
    <phoneticPr fontId="2"/>
  </si>
  <si>
    <t>※海外は無し、国内10%</t>
    <rPh sb="1" eb="3">
      <t>カイガイ</t>
    </rPh>
    <rPh sb="4" eb="5">
      <t>ナ</t>
    </rPh>
    <rPh sb="7" eb="9">
      <t>コクナイ</t>
    </rPh>
    <phoneticPr fontId="2"/>
  </si>
  <si>
    <t>消費税</t>
    <rPh sb="0" eb="3">
      <t>ショウヒゼイ</t>
    </rPh>
    <phoneticPr fontId="2"/>
  </si>
  <si>
    <t>HPM（ﾌｼﾞｸﾗ製）</t>
  </si>
  <si>
    <t>△1,000などマイナス表示で任意</t>
    <rPh sb="12" eb="14">
      <t>ヒョウジ</t>
    </rPh>
    <rPh sb="15" eb="17">
      <t>ニンイ</t>
    </rPh>
    <phoneticPr fontId="2"/>
  </si>
  <si>
    <t>値引</t>
    <rPh sb="0" eb="2">
      <t>ネビ</t>
    </rPh>
    <phoneticPr fontId="2"/>
  </si>
  <si>
    <t>フジクラPMF</t>
  </si>
  <si>
    <t>※海外は原則相手持ち、国内3000円</t>
    <rPh sb="1" eb="3">
      <t>カイガイ</t>
    </rPh>
    <rPh sb="4" eb="6">
      <t>ゲンソク</t>
    </rPh>
    <rPh sb="6" eb="9">
      <t>アイテモ</t>
    </rPh>
    <rPh sb="11" eb="13">
      <t>コクナイ</t>
    </rPh>
    <rPh sb="17" eb="18">
      <t>エン</t>
    </rPh>
    <phoneticPr fontId="2"/>
  </si>
  <si>
    <t>荷造運賃</t>
    <rPh sb="0" eb="4">
      <t>ニヅクリウンチン</t>
    </rPh>
    <phoneticPr fontId="2"/>
  </si>
  <si>
    <t>UHNA7</t>
  </si>
  <si>
    <t>0.95など</t>
    <phoneticPr fontId="2"/>
  </si>
  <si>
    <t>顧客別仕切</t>
    <rPh sb="0" eb="3">
      <t>コキャクベツ</t>
    </rPh>
    <rPh sb="3" eb="5">
      <t>シキ</t>
    </rPh>
    <phoneticPr fontId="2"/>
  </si>
  <si>
    <t>UHNA4</t>
  </si>
  <si>
    <t>0.95など※数量が100以上→0.98、300以上→0.95・・・</t>
    <rPh sb="7" eb="9">
      <t>スウリョウ</t>
    </rPh>
    <rPh sb="13" eb="15">
      <t>イジョウ</t>
    </rPh>
    <rPh sb="24" eb="26">
      <t>イジョウ</t>
    </rPh>
    <phoneticPr fontId="2"/>
  </si>
  <si>
    <t>数量ディスカウント</t>
    <rPh sb="0" eb="2">
      <t>スウリョウ</t>
    </rPh>
    <phoneticPr fontId="2"/>
  </si>
  <si>
    <t>UHNA3</t>
  </si>
  <si>
    <t>1.15,1.2など ※数量が50本未満→1.2、50以上200未満→1.15、200以上→1.13・・・</t>
    <rPh sb="12" eb="14">
      <t>スウリョウ</t>
    </rPh>
    <rPh sb="13" eb="14">
      <t>ソウスウ</t>
    </rPh>
    <rPh sb="17" eb="18">
      <t>ホン</t>
    </rPh>
    <rPh sb="18" eb="20">
      <t>ミマン</t>
    </rPh>
    <rPh sb="27" eb="29">
      <t>イジョウ</t>
    </rPh>
    <rPh sb="32" eb="34">
      <t>ミマン</t>
    </rPh>
    <rPh sb="43" eb="45">
      <t>イジョウ</t>
    </rPh>
    <phoneticPr fontId="2"/>
  </si>
  <si>
    <t>管理費</t>
    <rPh sb="0" eb="3">
      <t>カンリヒ</t>
    </rPh>
    <phoneticPr fontId="2"/>
  </si>
  <si>
    <t>UHNA1</t>
  </si>
  <si>
    <t>例えばファイバのm数で変動、各部品代、各種加工費、梱包作業費</t>
    <rPh sb="0" eb="1">
      <t>タト</t>
    </rPh>
    <rPh sb="9" eb="10">
      <t>スウ</t>
    </rPh>
    <rPh sb="11" eb="13">
      <t>ヘンドウ</t>
    </rPh>
    <rPh sb="14" eb="15">
      <t>カク</t>
    </rPh>
    <rPh sb="15" eb="18">
      <t>ブヒンダイ</t>
    </rPh>
    <rPh sb="19" eb="24">
      <t>カクシュカコウヒ</t>
    </rPh>
    <rPh sb="25" eb="27">
      <t>コンポウ</t>
    </rPh>
    <rPh sb="27" eb="29">
      <t>サギョウ</t>
    </rPh>
    <rPh sb="29" eb="30">
      <t>ヒ</t>
    </rPh>
    <phoneticPr fontId="2"/>
  </si>
  <si>
    <t>変動性経費</t>
    <rPh sb="0" eb="5">
      <t>ヘンドウセイケイヒ</t>
    </rPh>
    <phoneticPr fontId="2"/>
  </si>
  <si>
    <t>SMF28</t>
  </si>
  <si>
    <t>数量に関わらず一定額</t>
    <rPh sb="0" eb="2">
      <t>スウリョウ</t>
    </rPh>
    <rPh sb="3" eb="4">
      <t>カカ</t>
    </rPh>
    <rPh sb="7" eb="9">
      <t>イッテイ</t>
    </rPh>
    <rPh sb="9" eb="10">
      <t>ガク</t>
    </rPh>
    <phoneticPr fontId="2"/>
  </si>
  <si>
    <t>固定性経費</t>
    <rPh sb="0" eb="3">
      <t>コテイセイ</t>
    </rPh>
    <rPh sb="3" eb="5">
      <t>ケイヒ</t>
    </rPh>
    <phoneticPr fontId="2"/>
  </si>
  <si>
    <t>住友SMF</t>
  </si>
  <si>
    <t>光ファイバ素線</t>
    <rPh sb="0" eb="1">
      <t>ヒカリ</t>
    </rPh>
    <rPh sb="5" eb="7">
      <t>ソセン</t>
    </rPh>
    <phoneticPr fontId="2"/>
  </si>
  <si>
    <t>見積要素</t>
    <rPh sb="0" eb="2">
      <t>ミツモリ</t>
    </rPh>
    <rPh sb="2" eb="4">
      <t>ヨウソ</t>
    </rPh>
    <phoneticPr fontId="2"/>
  </si>
  <si>
    <t>マスタ一覧</t>
    <rPh sb="3" eb="5">
      <t>イチラン</t>
    </rPh>
    <phoneticPr fontId="2"/>
  </si>
  <si>
    <t>作業内容による係数</t>
    <phoneticPr fontId="2"/>
  </si>
  <si>
    <t>作業時間</t>
    <phoneticPr fontId="2"/>
  </si>
  <si>
    <t>時間チャージ×作業時間×係数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</si>
</sst>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General&quot;分&quot;"/>
  </numFmts>
  <fonts count="7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S PGothic"/>
      <family val="3"/>
      <charset val="128"/>
    </font>
    <font>
      <sz val="11"/>
      <name val="Calibri"/>
      <family val="2"/>
    </font>
    <font>
      <b/>
      <sz val="11"/>
      <color theme="1"/>
      <name val="MS PGothic"/>
      <family val="3"/>
      <charset val="128"/>
    </font>
    <font>
      <sz val="11"/>
      <color rgb="FFFF000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2" borderId="0" xfId="0" applyFill="1"/>
    <xf numFmtId="176" fontId="0" fillId="2" borderId="0" xfId="0" applyNumberFormat="1" applyFill="1"/>
    <xf numFmtId="6" fontId="3" fillId="0" borderId="1" xfId="1" applyNumberFormat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0" fillId="0" borderId="0" xfId="0" applyAlignment="1">
      <alignment horizontal="right"/>
    </xf>
    <xf numFmtId="0" fontId="3" fillId="0" borderId="6" xfId="1" applyFont="1" applyBorder="1" applyAlignment="1">
      <alignment horizontal="right" vertical="center"/>
    </xf>
    <xf numFmtId="0" fontId="3" fillId="0" borderId="0" xfId="1" applyFont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vertical="center"/>
    </xf>
    <xf numFmtId="0" fontId="5" fillId="0" borderId="6" xfId="1" applyFont="1" applyBorder="1" applyAlignment="1">
      <alignment horizontal="right" vertical="center"/>
    </xf>
    <xf numFmtId="6" fontId="3" fillId="0" borderId="0" xfId="1" applyNumberFormat="1" applyFont="1" applyAlignment="1">
      <alignment vertical="center"/>
    </xf>
    <xf numFmtId="0" fontId="6" fillId="0" borderId="0" xfId="0" applyFont="1"/>
    <xf numFmtId="38" fontId="3" fillId="0" borderId="1" xfId="1" applyNumberFormat="1" applyFont="1" applyBorder="1" applyAlignment="1">
      <alignment vertical="center"/>
    </xf>
    <xf numFmtId="0" fontId="3" fillId="0" borderId="3" xfId="1" applyFont="1" applyBorder="1" applyAlignment="1">
      <alignment horizontal="right" vertical="center"/>
    </xf>
    <xf numFmtId="0" fontId="4" fillId="0" borderId="2" xfId="1" applyFont="1" applyBorder="1" applyAlignment="1">
      <alignment vertical="center"/>
    </xf>
    <xf numFmtId="0" fontId="3" fillId="0" borderId="9" xfId="1" applyFont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3" fillId="0" borderId="10" xfId="1" applyFont="1" applyBorder="1" applyAlignment="1">
      <alignment horizontal="left" vertical="center"/>
    </xf>
    <xf numFmtId="0" fontId="4" fillId="0" borderId="3" xfId="1" applyFont="1" applyBorder="1" applyAlignment="1">
      <alignment vertical="center"/>
    </xf>
    <xf numFmtId="0" fontId="3" fillId="0" borderId="10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right" vertical="center"/>
    </xf>
  </cellXfs>
  <cellStyles count="2">
    <cellStyle name="標準" xfId="0" builtinId="0"/>
    <cellStyle name="標準 2" xfId="1" xr:uid="{37759229-21DB-4187-AC7F-7DD4EDDA9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2E15-956B-454E-B15B-F4622F0A5191}">
  <dimension ref="A1:H109"/>
  <sheetViews>
    <sheetView tabSelected="1" topLeftCell="A28" zoomScale="70" zoomScaleNormal="70" workbookViewId="0">
      <selection activeCell="B62" sqref="B62"/>
    </sheetView>
  </sheetViews>
  <sheetFormatPr defaultRowHeight="18"/>
  <cols>
    <col min="1" max="1" width="124.58203125" bestFit="1" customWidth="1"/>
    <col min="2" max="2" width="77.75" bestFit="1" customWidth="1"/>
    <col min="3" max="3" width="23.5" bestFit="1" customWidth="1"/>
    <col min="4" max="4" width="19.25" bestFit="1" customWidth="1"/>
    <col min="5" max="5" width="29.58203125" bestFit="1" customWidth="1"/>
    <col min="6" max="6" width="21.33203125" bestFit="1" customWidth="1"/>
    <col min="7" max="7" width="27.75" bestFit="1" customWidth="1"/>
    <col min="8" max="8" width="5.58203125" bestFit="1" customWidth="1"/>
  </cols>
  <sheetData>
    <row r="1" spans="1:2">
      <c r="A1" s="13" t="s">
        <v>124</v>
      </c>
    </row>
    <row r="3" spans="1:2">
      <c r="A3" t="s">
        <v>121</v>
      </c>
      <c r="B3" t="s">
        <v>120</v>
      </c>
    </row>
    <row r="4" spans="1:2">
      <c r="A4" t="s">
        <v>118</v>
      </c>
      <c r="B4" t="s">
        <v>117</v>
      </c>
    </row>
    <row r="5" spans="1:2">
      <c r="A5" t="s">
        <v>115</v>
      </c>
      <c r="B5" t="s">
        <v>114</v>
      </c>
    </row>
    <row r="6" spans="1:2">
      <c r="A6" t="s">
        <v>112</v>
      </c>
      <c r="B6" t="s">
        <v>111</v>
      </c>
    </row>
    <row r="7" spans="1:2">
      <c r="A7" t="s">
        <v>109</v>
      </c>
      <c r="B7" t="s">
        <v>108</v>
      </c>
    </row>
    <row r="8" spans="1:2">
      <c r="A8" t="s">
        <v>106</v>
      </c>
      <c r="B8" t="s">
        <v>105</v>
      </c>
    </row>
    <row r="9" spans="1:2">
      <c r="A9" t="s">
        <v>103</v>
      </c>
      <c r="B9" t="s">
        <v>102</v>
      </c>
    </row>
    <row r="10" spans="1:2">
      <c r="A10" t="s">
        <v>100</v>
      </c>
      <c r="B10" t="s">
        <v>99</v>
      </c>
    </row>
    <row r="12" spans="1:2">
      <c r="A12" s="13" t="s">
        <v>95</v>
      </c>
    </row>
    <row r="13" spans="1:2">
      <c r="A13" t="s">
        <v>94</v>
      </c>
    </row>
    <row r="14" spans="1:2">
      <c r="A14" t="s">
        <v>93</v>
      </c>
    </row>
    <row r="15" spans="1:2">
      <c r="A15" t="s">
        <v>90</v>
      </c>
    </row>
    <row r="16" spans="1:2">
      <c r="A16" t="s">
        <v>88</v>
      </c>
    </row>
    <row r="17" spans="1:5">
      <c r="A17" t="s">
        <v>87</v>
      </c>
    </row>
    <row r="18" spans="1:5">
      <c r="A18" t="s">
        <v>83</v>
      </c>
    </row>
    <row r="23" spans="1:5">
      <c r="A23" s="13" t="s">
        <v>125</v>
      </c>
    </row>
    <row r="25" spans="1:5">
      <c r="A25" t="s">
        <v>123</v>
      </c>
      <c r="B25" s="15" t="s">
        <v>122</v>
      </c>
      <c r="C25" s="16"/>
      <c r="D25" s="4">
        <v>23.5</v>
      </c>
      <c r="E25" s="4" t="s">
        <v>96</v>
      </c>
    </row>
    <row r="26" spans="1:5">
      <c r="B26" s="15" t="s">
        <v>119</v>
      </c>
      <c r="C26" s="16"/>
      <c r="D26" s="4">
        <v>48</v>
      </c>
      <c r="E26" s="4" t="s">
        <v>96</v>
      </c>
    </row>
    <row r="27" spans="1:5">
      <c r="B27" s="15" t="s">
        <v>116</v>
      </c>
      <c r="C27" s="16"/>
      <c r="D27" s="14">
        <v>1450</v>
      </c>
      <c r="E27" s="4" t="s">
        <v>96</v>
      </c>
    </row>
    <row r="28" spans="1:5">
      <c r="B28" s="15" t="s">
        <v>113</v>
      </c>
      <c r="C28" s="16"/>
      <c r="D28" s="14">
        <v>1450</v>
      </c>
      <c r="E28" s="4" t="s">
        <v>96</v>
      </c>
    </row>
    <row r="29" spans="1:5">
      <c r="B29" s="15" t="s">
        <v>110</v>
      </c>
      <c r="C29" s="16"/>
      <c r="D29" s="14">
        <v>1450</v>
      </c>
      <c r="E29" s="4" t="s">
        <v>96</v>
      </c>
    </row>
    <row r="30" spans="1:5">
      <c r="B30" s="15" t="s">
        <v>107</v>
      </c>
      <c r="C30" s="16"/>
      <c r="D30" s="14">
        <v>1450</v>
      </c>
      <c r="E30" s="4" t="s">
        <v>96</v>
      </c>
    </row>
    <row r="31" spans="1:5">
      <c r="B31" s="15" t="s">
        <v>104</v>
      </c>
      <c r="C31" s="16"/>
      <c r="D31" s="14">
        <v>1090</v>
      </c>
      <c r="E31" s="4" t="s">
        <v>96</v>
      </c>
    </row>
    <row r="32" spans="1:5">
      <c r="B32" s="15" t="s">
        <v>101</v>
      </c>
      <c r="C32" s="16"/>
      <c r="D32" s="14">
        <v>2540</v>
      </c>
      <c r="E32" s="4" t="s">
        <v>96</v>
      </c>
    </row>
    <row r="34" spans="1:5">
      <c r="A34" t="s">
        <v>98</v>
      </c>
      <c r="B34" s="27" t="s">
        <v>97</v>
      </c>
      <c r="C34" s="16"/>
      <c r="D34" s="4">
        <v>60</v>
      </c>
      <c r="E34" s="4" t="s">
        <v>96</v>
      </c>
    </row>
    <row r="37" spans="1:5">
      <c r="A37" t="s">
        <v>92</v>
      </c>
      <c r="B37" s="27" t="s">
        <v>91</v>
      </c>
      <c r="C37" s="16"/>
      <c r="D37" s="4">
        <v>200</v>
      </c>
      <c r="E37" s="4" t="s">
        <v>16</v>
      </c>
    </row>
    <row r="38" spans="1:5">
      <c r="B38" s="27" t="s">
        <v>89</v>
      </c>
      <c r="C38" s="16"/>
      <c r="D38" s="4">
        <v>200</v>
      </c>
      <c r="E38" s="4" t="s">
        <v>16</v>
      </c>
    </row>
    <row r="40" spans="1:5">
      <c r="A40" t="s">
        <v>86</v>
      </c>
      <c r="B40" t="s">
        <v>85</v>
      </c>
      <c r="D40">
        <f>D50+D53</f>
        <v>450</v>
      </c>
      <c r="E40" t="s">
        <v>84</v>
      </c>
    </row>
    <row r="41" spans="1:5">
      <c r="B41" t="s">
        <v>82</v>
      </c>
      <c r="D41">
        <f>D52+D54</f>
        <v>690</v>
      </c>
    </row>
    <row r="42" spans="1:5">
      <c r="B42" t="s">
        <v>81</v>
      </c>
      <c r="D42">
        <f>D55+D58</f>
        <v>860</v>
      </c>
    </row>
    <row r="43" spans="1:5">
      <c r="B43" t="s">
        <v>80</v>
      </c>
      <c r="D43">
        <f>D57+D59</f>
        <v>660</v>
      </c>
    </row>
    <row r="44" spans="1:5">
      <c r="B44" t="s">
        <v>79</v>
      </c>
      <c r="D44">
        <f>D51+D53</f>
        <v>270</v>
      </c>
    </row>
    <row r="45" spans="1:5">
      <c r="B45" t="s">
        <v>78</v>
      </c>
      <c r="D45">
        <f>D51+D54</f>
        <v>460</v>
      </c>
    </row>
    <row r="46" spans="1:5">
      <c r="B46" t="s">
        <v>77</v>
      </c>
      <c r="D46">
        <f>D56+D58</f>
        <v>375</v>
      </c>
    </row>
    <row r="47" spans="1:5">
      <c r="B47" t="s">
        <v>76</v>
      </c>
      <c r="D47">
        <f>D56+D59</f>
        <v>515</v>
      </c>
    </row>
    <row r="49" spans="1:5">
      <c r="D49" t="s">
        <v>75</v>
      </c>
    </row>
    <row r="50" spans="1:5">
      <c r="B50" s="15" t="s">
        <v>74</v>
      </c>
      <c r="C50" s="16"/>
      <c r="D50" s="4">
        <v>300</v>
      </c>
      <c r="E50" s="4" t="s">
        <v>16</v>
      </c>
    </row>
    <row r="51" spans="1:5">
      <c r="B51" s="15" t="s">
        <v>73</v>
      </c>
      <c r="C51" s="16"/>
      <c r="D51" s="4">
        <v>120</v>
      </c>
      <c r="E51" s="4" t="s">
        <v>16</v>
      </c>
    </row>
    <row r="52" spans="1:5">
      <c r="B52" s="15" t="s">
        <v>72</v>
      </c>
      <c r="C52" s="16"/>
      <c r="D52" s="4">
        <v>350</v>
      </c>
      <c r="E52" s="4" t="s">
        <v>16</v>
      </c>
    </row>
    <row r="53" spans="1:5">
      <c r="B53" s="15" t="s">
        <v>71</v>
      </c>
      <c r="C53" s="16"/>
      <c r="D53" s="4">
        <v>150</v>
      </c>
      <c r="E53" s="4" t="s">
        <v>16</v>
      </c>
    </row>
    <row r="54" spans="1:5">
      <c r="B54" s="15" t="s">
        <v>70</v>
      </c>
      <c r="C54" s="16"/>
      <c r="D54" s="4">
        <v>340</v>
      </c>
      <c r="E54" s="4" t="s">
        <v>16</v>
      </c>
    </row>
    <row r="55" spans="1:5">
      <c r="B55" s="15" t="s">
        <v>69</v>
      </c>
      <c r="C55" s="16"/>
      <c r="D55" s="4">
        <v>660</v>
      </c>
      <c r="E55" s="4" t="s">
        <v>16</v>
      </c>
    </row>
    <row r="56" spans="1:5">
      <c r="B56" s="15" t="s">
        <v>68</v>
      </c>
      <c r="C56" s="16"/>
      <c r="D56" s="4">
        <v>175</v>
      </c>
      <c r="E56" s="4" t="s">
        <v>16</v>
      </c>
    </row>
    <row r="57" spans="1:5">
      <c r="B57" s="15" t="s">
        <v>67</v>
      </c>
      <c r="C57" s="16"/>
      <c r="D57" s="4">
        <v>320</v>
      </c>
      <c r="E57" s="4" t="s">
        <v>16</v>
      </c>
    </row>
    <row r="58" spans="1:5">
      <c r="B58" s="15" t="s">
        <v>66</v>
      </c>
      <c r="C58" s="16"/>
      <c r="D58" s="4">
        <v>200</v>
      </c>
      <c r="E58" s="4" t="s">
        <v>16</v>
      </c>
    </row>
    <row r="59" spans="1:5">
      <c r="B59" s="15" t="s">
        <v>65</v>
      </c>
      <c r="C59" s="16"/>
      <c r="D59" s="4">
        <v>340</v>
      </c>
      <c r="E59" s="4" t="s">
        <v>16</v>
      </c>
    </row>
    <row r="60" spans="1:5">
      <c r="B60" s="15" t="s">
        <v>64</v>
      </c>
      <c r="C60" s="16"/>
      <c r="D60" s="4"/>
      <c r="E60" s="4" t="s">
        <v>16</v>
      </c>
    </row>
    <row r="62" spans="1:5">
      <c r="A62" t="s">
        <v>63</v>
      </c>
      <c r="B62" s="1">
        <v>9000</v>
      </c>
      <c r="C62" t="s">
        <v>62</v>
      </c>
    </row>
    <row r="63" spans="1:5">
      <c r="A63" t="s">
        <v>59</v>
      </c>
    </row>
    <row r="64" spans="1:5">
      <c r="C64" t="s">
        <v>127</v>
      </c>
      <c r="D64" t="s">
        <v>126</v>
      </c>
      <c r="E64" t="s">
        <v>128</v>
      </c>
    </row>
    <row r="65" spans="1:7">
      <c r="A65" t="s">
        <v>57</v>
      </c>
      <c r="B65" t="s">
        <v>56</v>
      </c>
      <c r="E65">
        <v>600</v>
      </c>
      <c r="F65" s="4" t="s">
        <v>27</v>
      </c>
      <c r="G65" t="s">
        <v>55</v>
      </c>
    </row>
    <row r="66" spans="1:7">
      <c r="B66" t="s">
        <v>53</v>
      </c>
      <c r="E66">
        <v>800</v>
      </c>
      <c r="F66" s="4" t="s">
        <v>27</v>
      </c>
      <c r="G66" t="s">
        <v>52</v>
      </c>
    </row>
    <row r="67" spans="1:7">
      <c r="A67" t="s">
        <v>51</v>
      </c>
      <c r="B67" t="s">
        <v>50</v>
      </c>
      <c r="C67" s="2">
        <v>30</v>
      </c>
      <c r="D67" s="1">
        <v>0.4</v>
      </c>
      <c r="E67">
        <f>($B$62/60)*C67*D67</f>
        <v>1800</v>
      </c>
      <c r="F67" s="4" t="s">
        <v>27</v>
      </c>
      <c r="G67" t="s">
        <v>49</v>
      </c>
    </row>
    <row r="68" spans="1:7">
      <c r="B68" t="s">
        <v>45</v>
      </c>
      <c r="C68" s="2">
        <v>72</v>
      </c>
      <c r="D68" s="1">
        <v>0.1</v>
      </c>
      <c r="E68">
        <f>($B$62/60)*C68*D68</f>
        <v>1080</v>
      </c>
      <c r="F68" s="4" t="s">
        <v>27</v>
      </c>
      <c r="G68" t="s">
        <v>44</v>
      </c>
    </row>
    <row r="69" spans="1:7">
      <c r="B69" t="s">
        <v>40</v>
      </c>
      <c r="C69" s="2">
        <v>2</v>
      </c>
      <c r="D69" s="1">
        <v>0.5</v>
      </c>
      <c r="E69">
        <f>($B$62/60)*C69*D69</f>
        <v>150</v>
      </c>
      <c r="F69" s="7" t="s">
        <v>39</v>
      </c>
    </row>
    <row r="70" spans="1:7">
      <c r="A70" t="s">
        <v>5</v>
      </c>
      <c r="E70">
        <v>0.9</v>
      </c>
      <c r="F70" t="s">
        <v>4</v>
      </c>
    </row>
    <row r="71" spans="1:7">
      <c r="D71" s="5" t="s">
        <v>19</v>
      </c>
      <c r="E71">
        <f>ROUNDUP(SUM(E65:E69)/E70/10,0)*10</f>
        <v>4930</v>
      </c>
      <c r="F71" s="7" t="s">
        <v>32</v>
      </c>
    </row>
    <row r="73" spans="1:7">
      <c r="A73" t="s">
        <v>29</v>
      </c>
    </row>
    <row r="74" spans="1:7">
      <c r="A74" t="s">
        <v>25</v>
      </c>
      <c r="C74" s="2">
        <v>4</v>
      </c>
      <c r="D74" s="1">
        <v>2.5</v>
      </c>
      <c r="E74">
        <f>($B$62/60)*C74*D74</f>
        <v>1500</v>
      </c>
      <c r="F74" s="7" t="s">
        <v>23</v>
      </c>
    </row>
    <row r="75" spans="1:7">
      <c r="A75" t="s">
        <v>24</v>
      </c>
      <c r="C75" s="2">
        <v>2</v>
      </c>
      <c r="D75" s="1">
        <v>2.5</v>
      </c>
      <c r="E75">
        <f>($B$62/60)*C75*D75</f>
        <v>750</v>
      </c>
      <c r="F75" s="7" t="s">
        <v>23</v>
      </c>
    </row>
    <row r="76" spans="1:7">
      <c r="A76" t="s">
        <v>5</v>
      </c>
      <c r="E76">
        <v>0.9</v>
      </c>
      <c r="F76" t="s">
        <v>4</v>
      </c>
    </row>
    <row r="77" spans="1:7">
      <c r="D77" s="5" t="s">
        <v>19</v>
      </c>
      <c r="E77">
        <f>ROUNDUP(SUM(E74:E75)/E76/10,0)*10</f>
        <v>2500</v>
      </c>
    </row>
    <row r="79" spans="1:7">
      <c r="A79" t="s">
        <v>14</v>
      </c>
    </row>
    <row r="80" spans="1:7">
      <c r="A80" t="s">
        <v>13</v>
      </c>
      <c r="B80" t="s">
        <v>12</v>
      </c>
      <c r="C80" s="2">
        <v>20</v>
      </c>
      <c r="D80" s="1">
        <v>1</v>
      </c>
      <c r="E80">
        <f>($B$62/60)*C80*D80</f>
        <v>3000</v>
      </c>
      <c r="F80" t="s">
        <v>11</v>
      </c>
      <c r="G80" t="s">
        <v>8</v>
      </c>
    </row>
    <row r="81" spans="1:8">
      <c r="B81" t="s">
        <v>10</v>
      </c>
      <c r="C81" s="2">
        <v>27</v>
      </c>
      <c r="D81" s="1">
        <v>1</v>
      </c>
      <c r="E81">
        <f>($B$62/60)*C81*D81</f>
        <v>4050</v>
      </c>
      <c r="F81" t="s">
        <v>2</v>
      </c>
      <c r="G81" t="s">
        <v>8</v>
      </c>
    </row>
    <row r="82" spans="1:8">
      <c r="B82" t="s">
        <v>9</v>
      </c>
      <c r="C82" s="2">
        <v>50</v>
      </c>
      <c r="D82" s="1">
        <v>1</v>
      </c>
      <c r="E82">
        <f>($B$62/60)*C82*D82</f>
        <v>7500</v>
      </c>
      <c r="F82" t="s">
        <v>2</v>
      </c>
      <c r="G82" t="s">
        <v>8</v>
      </c>
    </row>
    <row r="83" spans="1:8">
      <c r="B83" t="s">
        <v>7</v>
      </c>
      <c r="C83" s="2">
        <v>60</v>
      </c>
      <c r="D83" s="1">
        <v>1</v>
      </c>
      <c r="E83">
        <f>($B$62/60)*C83*D83</f>
        <v>9000</v>
      </c>
      <c r="F83" t="s">
        <v>2</v>
      </c>
    </row>
    <row r="84" spans="1:8">
      <c r="B84" t="s">
        <v>6</v>
      </c>
      <c r="C84" s="2">
        <v>80</v>
      </c>
      <c r="D84" s="1">
        <v>1</v>
      </c>
      <c r="E84">
        <f>($B$62/60)*C84*D84</f>
        <v>12000</v>
      </c>
      <c r="F84" t="s">
        <v>2</v>
      </c>
    </row>
    <row r="85" spans="1:8">
      <c r="A85" t="s">
        <v>5</v>
      </c>
      <c r="E85">
        <v>0.95</v>
      </c>
      <c r="F85" t="s">
        <v>4</v>
      </c>
    </row>
    <row r="87" spans="1:8">
      <c r="A87" t="s">
        <v>3</v>
      </c>
    </row>
    <row r="88" spans="1:8">
      <c r="C88" s="2">
        <v>3</v>
      </c>
      <c r="D88" s="1">
        <v>0.6</v>
      </c>
      <c r="E88">
        <f>($B$62/60)*C88*D88</f>
        <v>270</v>
      </c>
      <c r="F88" t="s">
        <v>2</v>
      </c>
    </row>
    <row r="90" spans="1:8">
      <c r="A90" t="s">
        <v>1</v>
      </c>
      <c r="D90">
        <v>6000</v>
      </c>
      <c r="E90" t="s">
        <v>0</v>
      </c>
    </row>
    <row r="94" spans="1:8">
      <c r="A94" s="11" t="s">
        <v>61</v>
      </c>
      <c r="B94" s="15" t="s">
        <v>60</v>
      </c>
      <c r="C94" s="24"/>
      <c r="D94" s="24"/>
      <c r="E94" s="16"/>
      <c r="F94" s="4">
        <v>2</v>
      </c>
      <c r="G94" s="4" t="s">
        <v>33</v>
      </c>
      <c r="H94" s="12"/>
    </row>
    <row r="95" spans="1:8">
      <c r="A95" s="20"/>
      <c r="B95" s="15" t="s">
        <v>58</v>
      </c>
      <c r="C95" s="24"/>
      <c r="D95" s="24"/>
      <c r="E95" s="16"/>
      <c r="F95" s="4">
        <v>2</v>
      </c>
      <c r="G95" s="4" t="s">
        <v>33</v>
      </c>
      <c r="H95" s="12"/>
    </row>
    <row r="96" spans="1:8">
      <c r="A96" s="22"/>
      <c r="B96" s="15" t="s">
        <v>54</v>
      </c>
      <c r="C96" s="24"/>
      <c r="D96" s="24"/>
      <c r="E96" s="16"/>
      <c r="F96" s="4">
        <v>2</v>
      </c>
      <c r="G96" s="4" t="s">
        <v>33</v>
      </c>
      <c r="H96" s="12"/>
    </row>
    <row r="97" spans="1:8">
      <c r="A97" s="26"/>
      <c r="B97" s="18"/>
      <c r="C97" s="18"/>
      <c r="D97" s="18"/>
      <c r="E97" s="18"/>
      <c r="F97" s="18"/>
      <c r="G97" s="18"/>
      <c r="H97" s="18"/>
    </row>
    <row r="98" spans="1:8">
      <c r="A98" s="11" t="s">
        <v>48</v>
      </c>
      <c r="B98" s="10" t="s">
        <v>47</v>
      </c>
      <c r="C98" s="4" t="s">
        <v>46</v>
      </c>
      <c r="D98" s="4">
        <v>0.2</v>
      </c>
      <c r="E98" s="4" t="s">
        <v>33</v>
      </c>
      <c r="F98" s="25"/>
      <c r="G98" s="24"/>
      <c r="H98" s="16"/>
    </row>
    <row r="99" spans="1:8">
      <c r="A99" s="20"/>
      <c r="B99" s="10" t="s">
        <v>43</v>
      </c>
      <c r="C99" s="9" t="s">
        <v>42</v>
      </c>
      <c r="D99" s="4">
        <v>1.2</v>
      </c>
      <c r="E99" s="4" t="s">
        <v>33</v>
      </c>
      <c r="F99" s="23" t="s">
        <v>41</v>
      </c>
      <c r="G99" s="24"/>
      <c r="H99" s="16"/>
    </row>
    <row r="100" spans="1:8">
      <c r="A100" s="21"/>
      <c r="B100" s="10" t="s">
        <v>38</v>
      </c>
      <c r="C100" s="9" t="s">
        <v>37</v>
      </c>
      <c r="D100" s="4">
        <v>0.5</v>
      </c>
      <c r="E100" s="4" t="s">
        <v>33</v>
      </c>
      <c r="F100" s="23" t="s">
        <v>36</v>
      </c>
      <c r="G100" s="24"/>
      <c r="H100" s="16"/>
    </row>
    <row r="101" spans="1:8">
      <c r="A101" s="22"/>
      <c r="B101" s="10" t="s">
        <v>35</v>
      </c>
      <c r="C101" s="9" t="s">
        <v>34</v>
      </c>
      <c r="D101" s="4">
        <v>0.1</v>
      </c>
      <c r="E101" s="4" t="s">
        <v>33</v>
      </c>
      <c r="F101" s="25"/>
      <c r="G101" s="24"/>
      <c r="H101" s="16"/>
    </row>
    <row r="103" spans="1:8">
      <c r="A103" s="6" t="s">
        <v>31</v>
      </c>
      <c r="B103" s="15" t="s">
        <v>30</v>
      </c>
      <c r="C103" s="16"/>
      <c r="D103" s="4">
        <v>600</v>
      </c>
      <c r="E103" s="4" t="s">
        <v>27</v>
      </c>
      <c r="F103" s="4">
        <v>1</v>
      </c>
      <c r="G103" s="4" t="s">
        <v>26</v>
      </c>
      <c r="H103" s="3">
        <f>D103*F103</f>
        <v>600</v>
      </c>
    </row>
    <row r="104" spans="1:8">
      <c r="A104" s="8"/>
      <c r="B104" s="15" t="s">
        <v>28</v>
      </c>
      <c r="C104" s="16"/>
      <c r="D104" s="4">
        <v>200</v>
      </c>
      <c r="E104" s="4" t="s">
        <v>27</v>
      </c>
      <c r="F104" s="4">
        <v>3</v>
      </c>
      <c r="G104" s="4" t="s">
        <v>26</v>
      </c>
      <c r="H104" s="3">
        <f>D104*F104</f>
        <v>600</v>
      </c>
    </row>
    <row r="105" spans="1:8">
      <c r="A105" s="17"/>
      <c r="B105" s="18"/>
      <c r="C105" s="18"/>
      <c r="D105" s="18"/>
      <c r="E105" s="18"/>
      <c r="F105" s="18"/>
      <c r="G105" s="18"/>
      <c r="H105" s="19"/>
    </row>
    <row r="106" spans="1:8">
      <c r="A106" s="6" t="s">
        <v>22</v>
      </c>
      <c r="B106" s="15" t="s">
        <v>21</v>
      </c>
      <c r="C106" s="16"/>
      <c r="D106" s="4">
        <v>195</v>
      </c>
      <c r="E106" s="4" t="s">
        <v>16</v>
      </c>
      <c r="F106" s="4"/>
      <c r="G106" s="4" t="s">
        <v>15</v>
      </c>
      <c r="H106" s="3">
        <f>D106*F106</f>
        <v>0</v>
      </c>
    </row>
    <row r="107" spans="1:8">
      <c r="A107" s="20"/>
      <c r="B107" s="15" t="s">
        <v>20</v>
      </c>
      <c r="C107" s="16"/>
      <c r="D107" s="4">
        <v>92</v>
      </c>
      <c r="E107" s="4" t="s">
        <v>16</v>
      </c>
      <c r="F107" s="4"/>
      <c r="G107" s="4" t="s">
        <v>15</v>
      </c>
      <c r="H107" s="3">
        <f>D107*F107</f>
        <v>0</v>
      </c>
    </row>
    <row r="108" spans="1:8">
      <c r="A108" s="21"/>
      <c r="B108" s="15" t="s">
        <v>18</v>
      </c>
      <c r="C108" s="16"/>
      <c r="D108" s="4">
        <v>100</v>
      </c>
      <c r="E108" s="4" t="s">
        <v>16</v>
      </c>
      <c r="F108" s="4">
        <v>0.5</v>
      </c>
      <c r="G108" s="4" t="s">
        <v>15</v>
      </c>
      <c r="H108" s="3">
        <f>D108*F108</f>
        <v>50</v>
      </c>
    </row>
    <row r="109" spans="1:8">
      <c r="A109" s="22"/>
      <c r="B109" s="15" t="s">
        <v>17</v>
      </c>
      <c r="C109" s="16"/>
      <c r="D109" s="4">
        <v>1200</v>
      </c>
      <c r="E109" s="4" t="s">
        <v>16</v>
      </c>
      <c r="F109" s="4">
        <v>0.5</v>
      </c>
      <c r="G109" s="4" t="s">
        <v>15</v>
      </c>
      <c r="H109" s="3">
        <f>D109*F109</f>
        <v>600</v>
      </c>
    </row>
  </sheetData>
  <mergeCells count="40">
    <mergeCell ref="B57:C57"/>
    <mergeCell ref="B50:C50"/>
    <mergeCell ref="B25:C25"/>
    <mergeCell ref="B26:C26"/>
    <mergeCell ref="B27:C27"/>
    <mergeCell ref="B28:C28"/>
    <mergeCell ref="B29:C29"/>
    <mergeCell ref="B30:C30"/>
    <mergeCell ref="B31:C31"/>
    <mergeCell ref="B32:C32"/>
    <mergeCell ref="B34:C34"/>
    <mergeCell ref="F98:H98"/>
    <mergeCell ref="B58:C58"/>
    <mergeCell ref="B59:C59"/>
    <mergeCell ref="B60:C60"/>
    <mergeCell ref="B51:C51"/>
    <mergeCell ref="B52:C52"/>
    <mergeCell ref="B53:C53"/>
    <mergeCell ref="B54:C54"/>
    <mergeCell ref="B55:C55"/>
    <mergeCell ref="B56:C56"/>
    <mergeCell ref="B37:C37"/>
    <mergeCell ref="B38:C38"/>
    <mergeCell ref="A99:A101"/>
    <mergeCell ref="F99:H99"/>
    <mergeCell ref="F100:H100"/>
    <mergeCell ref="F101:H101"/>
    <mergeCell ref="B94:E94"/>
    <mergeCell ref="A95:A96"/>
    <mergeCell ref="B95:E95"/>
    <mergeCell ref="B96:E96"/>
    <mergeCell ref="A97:H97"/>
    <mergeCell ref="B103:C103"/>
    <mergeCell ref="B104:C104"/>
    <mergeCell ref="A105:H105"/>
    <mergeCell ref="B106:C106"/>
    <mergeCell ref="A107:A109"/>
    <mergeCell ref="B107:C107"/>
    <mergeCell ref="B108:C108"/>
    <mergeCell ref="B109:C109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共有PC</dc:creator>
  <cp:lastModifiedBy>fiber delta</cp:lastModifiedBy>
  <dcterms:created xsi:type="dcterms:W3CDTF">2015-06-05T18:19:34Z</dcterms:created>
  <dcterms:modified xsi:type="dcterms:W3CDTF">2026-02-19T01:26:28Z</dcterms:modified>
</cp:coreProperties>
</file>