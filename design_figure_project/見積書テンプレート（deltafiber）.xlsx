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hi_\Downloads\"/>
    </mc:Choice>
  </mc:AlternateContent>
  <xr:revisionPtr revIDLastSave="0" documentId="13_ncr:1_{380CB29E-8FCD-48C7-9DE4-13DB3A9F4689}" xr6:coauthVersionLast="47" xr6:coauthVersionMax="47" xr10:uidLastSave="{00000000-0000-0000-0000-000000000000}"/>
  <bookViews>
    <workbookView xWindow="1068" yWindow="0" windowWidth="11382" windowHeight="12318" xr2:uid="{00000000-000D-0000-FFFF-FFFF00000000}"/>
  </bookViews>
  <sheets>
    <sheet name="見積書" sheetId="1" r:id="rId1"/>
    <sheet name="TEC" sheetId="2" state="hidden" r:id="rId2"/>
    <sheet name="MFDｃ" sheetId="3" state="hidden" r:id="rId3"/>
    <sheet name="エッチング" sheetId="4" state="hidden" r:id="rId4"/>
    <sheet name="テーパ" sheetId="5" state="hidden" r:id="rId5"/>
    <sheet name="その他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6" l="1"/>
  <c r="H3" i="6"/>
  <c r="H2" i="6"/>
  <c r="H27" i="5"/>
  <c r="H26" i="5"/>
  <c r="H25" i="5"/>
  <c r="H23" i="5"/>
  <c r="H22" i="5"/>
  <c r="H21" i="5"/>
  <c r="H20" i="5"/>
  <c r="H18" i="5"/>
  <c r="H17" i="5"/>
  <c r="H16" i="5"/>
  <c r="H15" i="5"/>
  <c r="H14" i="5"/>
  <c r="H13" i="5"/>
  <c r="H12" i="5"/>
  <c r="H11" i="5"/>
  <c r="H10" i="5"/>
  <c r="H9" i="5"/>
  <c r="H8" i="5"/>
  <c r="H6" i="5"/>
  <c r="H4" i="5"/>
  <c r="H3" i="5"/>
  <c r="H2" i="5"/>
  <c r="H17" i="4"/>
  <c r="H16" i="4"/>
  <c r="H15" i="4"/>
  <c r="H13" i="4"/>
  <c r="H12" i="4"/>
  <c r="H11" i="4"/>
  <c r="H10" i="4"/>
  <c r="H8" i="4"/>
  <c r="H7" i="4"/>
  <c r="H6" i="4"/>
  <c r="H4" i="4"/>
  <c r="H3" i="4"/>
  <c r="H2" i="4"/>
  <c r="H41" i="3"/>
  <c r="H40" i="3"/>
  <c r="H39" i="3"/>
  <c r="H37" i="3"/>
  <c r="H36" i="3"/>
  <c r="H35" i="3"/>
  <c r="H34" i="3"/>
  <c r="H32" i="3"/>
  <c r="H31" i="3"/>
  <c r="H28" i="3"/>
  <c r="H27" i="3"/>
  <c r="H25" i="3"/>
  <c r="H24" i="3"/>
  <c r="H23" i="3"/>
  <c r="H22" i="3"/>
  <c r="H21" i="3"/>
  <c r="H20" i="3"/>
  <c r="H19" i="3"/>
  <c r="H18" i="3"/>
  <c r="H17" i="3"/>
  <c r="H16" i="3"/>
  <c r="H15" i="3"/>
  <c r="H13" i="3"/>
  <c r="H11" i="3"/>
  <c r="H10" i="3"/>
  <c r="H9" i="3"/>
  <c r="H8" i="3"/>
  <c r="H7" i="3"/>
  <c r="H6" i="3"/>
  <c r="H5" i="3"/>
  <c r="H4" i="3"/>
  <c r="H3" i="3"/>
  <c r="H2" i="3"/>
  <c r="H25" i="2"/>
  <c r="H24" i="2"/>
  <c r="H23" i="2"/>
  <c r="H21" i="2"/>
  <c r="H20" i="2"/>
  <c r="H19" i="2"/>
  <c r="H18" i="2"/>
  <c r="H16" i="2"/>
  <c r="H15" i="2"/>
  <c r="H13" i="2"/>
  <c r="H12" i="2"/>
  <c r="H11" i="2"/>
  <c r="H10" i="2"/>
  <c r="H9" i="2"/>
  <c r="H8" i="2"/>
  <c r="H6" i="2"/>
  <c r="H4" i="2"/>
  <c r="H3" i="2"/>
  <c r="H2" i="2"/>
  <c r="G26" i="1"/>
  <c r="G24" i="1"/>
  <c r="G25" i="1" s="1"/>
  <c r="G23" i="1"/>
  <c r="G22" i="1"/>
  <c r="G21" i="1"/>
  <c r="G20" i="1"/>
  <c r="G19" i="1"/>
  <c r="G18" i="1"/>
  <c r="G17" i="1"/>
  <c r="G16" i="1"/>
  <c r="G15" i="1"/>
</calcChain>
</file>

<file path=xl/sharedStrings.xml><?xml version="1.0" encoding="utf-8"?>
<sst xmlns="http://schemas.openxmlformats.org/spreadsheetml/2006/main" count="436" uniqueCount="117">
  <si>
    <t>御見積書</t>
  </si>
  <si>
    <t>&lt;正式名称&gt;</t>
  </si>
  <si>
    <t>&lt;提出日&gt;</t>
  </si>
  <si>
    <t>&lt;提出先部署名1&gt;</t>
  </si>
  <si>
    <t>御見積書番号</t>
  </si>
  <si>
    <t>&lt;見積番号&gt;</t>
  </si>
  <si>
    <t>&lt;提出先部署名2&gt;</t>
  </si>
  <si>
    <t>&lt;提出先担当者名&gt; 様</t>
  </si>
  <si>
    <t>株式会社deltafiber.jp</t>
  </si>
  <si>
    <t>〒389-0406</t>
  </si>
  <si>
    <t>納入場所：</t>
  </si>
  <si>
    <t>国内貴社指定場所</t>
  </si>
  <si>
    <t>長野県東御市八重原3533-154</t>
  </si>
  <si>
    <t>納入期日：</t>
  </si>
  <si>
    <t>別途お打ち合わせ</t>
  </si>
  <si>
    <t>TEL 0268-61-6300</t>
  </si>
  <si>
    <t>御支払条件：</t>
  </si>
  <si>
    <t>納入月末締め翌月末銀行振込</t>
  </si>
  <si>
    <t>FAX 0268-61-6301</t>
  </si>
  <si>
    <t>有効期間：</t>
  </si>
  <si>
    <t>1ヶ月</t>
  </si>
  <si>
    <t>担当</t>
  </si>
  <si>
    <t>&lt;担当営業&gt;</t>
  </si>
  <si>
    <t>品名</t>
  </si>
  <si>
    <t>数量</t>
  </si>
  <si>
    <t>単価</t>
  </si>
  <si>
    <t>金額</t>
  </si>
  <si>
    <t>&lt;品名明細開始行&gt;</t>
  </si>
  <si>
    <t>合計（この価格には消費税は含まれておりません。）</t>
  </si>
  <si>
    <t>消費税</t>
  </si>
  <si>
    <t>税込金額</t>
  </si>
  <si>
    <t>仕様</t>
  </si>
  <si>
    <t>備考</t>
  </si>
  <si>
    <t>材料費</t>
  </si>
  <si>
    <t>必要数</t>
  </si>
  <si>
    <t>ファイバ</t>
  </si>
  <si>
    <t>住友SMF</t>
  </si>
  <si>
    <t>円/m</t>
  </si>
  <si>
    <t>ｍ</t>
  </si>
  <si>
    <t>SMF28</t>
  </si>
  <si>
    <t>その他</t>
  </si>
  <si>
    <t>チューブ</t>
  </si>
  <si>
    <t>ﾊｲﾄﾚﾙﾁｭｰﾌﾞ</t>
  </si>
  <si>
    <t>コネクタ</t>
  </si>
  <si>
    <t>FCﾊｳｼﾞﾝｸﾞ</t>
  </si>
  <si>
    <t>円/個</t>
  </si>
  <si>
    <t>個</t>
  </si>
  <si>
    <t>SCﾊｳｼﾞﾝｸﾞ</t>
  </si>
  <si>
    <t>FCﾊｳｼﾞﾝｸﾞ(APC用)</t>
  </si>
  <si>
    <t>ﾌｪﾙｰﾙ</t>
  </si>
  <si>
    <t>ｽﾃｯﾌﾟﾌｪﾙｰﾙ</t>
  </si>
  <si>
    <t>研摩関連</t>
  </si>
  <si>
    <t>接着材費（353ND）</t>
  </si>
  <si>
    <t>円/回</t>
  </si>
  <si>
    <t>回</t>
  </si>
  <si>
    <t>研摩ｼｰﾄ費</t>
  </si>
  <si>
    <t>出荷関連</t>
  </si>
  <si>
    <t>ファイバトレー</t>
  </si>
  <si>
    <t>段ボール小</t>
  </si>
  <si>
    <t>段ボール（Ａ4）</t>
  </si>
  <si>
    <t>運賃</t>
  </si>
  <si>
    <t>加工時間</t>
  </si>
  <si>
    <t>ファイバ加工</t>
  </si>
  <si>
    <t>時間</t>
  </si>
  <si>
    <t>端末加工</t>
  </si>
  <si>
    <t>その他諸作業</t>
  </si>
  <si>
    <t>参考</t>
  </si>
  <si>
    <t>ＴＥＣ加工</t>
  </si>
  <si>
    <t>4本あたり</t>
  </si>
  <si>
    <t>硬化</t>
  </si>
  <si>
    <t>1回あたり</t>
  </si>
  <si>
    <t>1回あたり最大20端末</t>
  </si>
  <si>
    <t>研摩</t>
  </si>
  <si>
    <t>6本あたり</t>
  </si>
  <si>
    <t>再研摩率20%</t>
  </si>
  <si>
    <t>出荷検査</t>
  </si>
  <si>
    <t>1本あたり</t>
  </si>
  <si>
    <t>外注費</t>
  </si>
  <si>
    <t>外注先</t>
  </si>
  <si>
    <t>内容</t>
  </si>
  <si>
    <t>見積金額</t>
  </si>
  <si>
    <t>UHNA1</t>
  </si>
  <si>
    <t>UHNA3</t>
  </si>
  <si>
    <t>UHNA4</t>
  </si>
  <si>
    <t>UHNA7</t>
  </si>
  <si>
    <t>フジクラPMF</t>
  </si>
  <si>
    <t>HPM（ﾌｼﾞｸﾗ製）</t>
  </si>
  <si>
    <t>HPM（CoreActive製）</t>
  </si>
  <si>
    <t>PMF用FCﾊｳｼﾞﾝｸﾞ</t>
  </si>
  <si>
    <t>PMF用SCﾊｳｼﾞﾝｸﾞ</t>
  </si>
  <si>
    <t>PMF用FC/APC</t>
  </si>
  <si>
    <t>PMF用ﾌｪﾙｰﾙ</t>
  </si>
  <si>
    <t>PMF用ｽﾃｯﾌﾟﾌｪﾙｰﾙ</t>
  </si>
  <si>
    <t>保護部材</t>
  </si>
  <si>
    <t>補強ｽﾘｰﾌﾞ</t>
  </si>
  <si>
    <t>SUSﾊﾟｲﾌﾟ</t>
  </si>
  <si>
    <t>ﾌｧｲﾊﾞｰﾄﾚｰ</t>
  </si>
  <si>
    <t>TEC加工</t>
  </si>
  <si>
    <t>2本あたり</t>
  </si>
  <si>
    <t>薬品</t>
  </si>
  <si>
    <t>ﾊﾞｯﾌｧｰﾄﾞﾌｯ酸(BHF-110U)</t>
  </si>
  <si>
    <t>円/g</t>
  </si>
  <si>
    <t>g</t>
  </si>
  <si>
    <t>硫酸（関東化学鹿1級）</t>
  </si>
  <si>
    <t>専用梱包箱</t>
  </si>
  <si>
    <t>SEI向け量産工数</t>
  </si>
  <si>
    <t>溶液
使用量</t>
  </si>
  <si>
    <t>BHF-110U</t>
  </si>
  <si>
    <t>硫酸</t>
  </si>
  <si>
    <t>工数</t>
  </si>
  <si>
    <t>ファイバ計尺</t>
  </si>
  <si>
    <t>分</t>
  </si>
  <si>
    <t>治具セット</t>
  </si>
  <si>
    <t>被覆除去作業</t>
  </si>
  <si>
    <t>追い込み</t>
  </si>
  <si>
    <t>最終検査</t>
  </si>
  <si>
    <t>梱包・出荷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</si>
</sst>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[$¥-411]#,##0;[Red][$¥-411]#,##0"/>
    <numFmt numFmtId="177" formatCode="[$¥-411]#,##0_);\([$¥-411]#,##0\)"/>
    <numFmt numFmtId="178" formatCode="[$¥-411]#,##0.00;[Red][$¥-411]#,##0.00"/>
  </numFmts>
  <fonts count="15">
    <font>
      <sz val="11"/>
      <color theme="1"/>
      <name val="Calibri"/>
      <scheme val="minor"/>
    </font>
    <font>
      <b/>
      <sz val="18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ＭＳ ゴシック"/>
      <family val="3"/>
      <charset val="128"/>
    </font>
    <font>
      <sz val="12"/>
      <color theme="1"/>
      <name val="MS PGothic"/>
      <family val="3"/>
      <charset val="128"/>
    </font>
    <font>
      <b/>
      <sz val="12"/>
      <color theme="1"/>
      <name val="ＭＳ ゴシック"/>
      <family val="3"/>
      <charset val="128"/>
    </font>
    <font>
      <sz val="11"/>
      <color theme="1"/>
      <name val="Calibri"/>
      <family val="2"/>
    </font>
    <font>
      <b/>
      <sz val="9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4"/>
      <color theme="1"/>
      <name val="MS Mincho"/>
    </font>
    <font>
      <b/>
      <sz val="11"/>
      <color theme="1"/>
      <name val="MS Mincho"/>
    </font>
    <font>
      <sz val="11"/>
      <name val="Calibri"/>
      <family val="2"/>
    </font>
    <font>
      <b/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1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76" fontId="4" fillId="0" borderId="10" xfId="0" applyNumberFormat="1" applyFont="1" applyBorder="1" applyAlignment="1">
      <alignment vertical="center"/>
    </xf>
    <xf numFmtId="176" fontId="4" fillId="0" borderId="11" xfId="0" applyNumberFormat="1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176" fontId="4" fillId="0" borderId="15" xfId="0" applyNumberFormat="1" applyFont="1" applyBorder="1" applyAlignment="1">
      <alignment vertical="center"/>
    </xf>
    <xf numFmtId="176" fontId="4" fillId="0" borderId="16" xfId="0" applyNumberFormat="1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176" fontId="4" fillId="0" borderId="20" xfId="0" applyNumberFormat="1" applyFont="1" applyBorder="1" applyAlignment="1">
      <alignment vertical="center"/>
    </xf>
    <xf numFmtId="176" fontId="4" fillId="0" borderId="21" xfId="0" applyNumberFormat="1" applyFont="1" applyBorder="1" applyAlignment="1">
      <alignment vertical="center"/>
    </xf>
    <xf numFmtId="177" fontId="4" fillId="0" borderId="25" xfId="0" applyNumberFormat="1" applyFont="1" applyBorder="1" applyAlignment="1">
      <alignment vertical="center"/>
    </xf>
    <xf numFmtId="9" fontId="4" fillId="0" borderId="14" xfId="0" applyNumberFormat="1" applyFont="1" applyBorder="1" applyAlignment="1">
      <alignment horizontal="center" vertical="center"/>
    </xf>
    <xf numFmtId="177" fontId="4" fillId="0" borderId="16" xfId="0" applyNumberFormat="1" applyFont="1" applyBorder="1" applyAlignment="1">
      <alignment vertical="center"/>
    </xf>
    <xf numFmtId="177" fontId="4" fillId="0" borderId="29" xfId="0" applyNumberFormat="1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2" fillId="2" borderId="40" xfId="0" applyFont="1" applyFill="1" applyBorder="1" applyAlignment="1">
      <alignment vertical="center"/>
    </xf>
    <xf numFmtId="0" fontId="13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2" xfId="0" applyFont="1" applyBorder="1" applyAlignment="1">
      <alignment vertical="center"/>
    </xf>
    <xf numFmtId="6" fontId="2" fillId="0" borderId="42" xfId="0" applyNumberFormat="1" applyFont="1" applyBorder="1" applyAlignment="1">
      <alignment vertical="center"/>
    </xf>
    <xf numFmtId="0" fontId="2" fillId="0" borderId="42" xfId="0" applyFont="1" applyBorder="1" applyAlignment="1">
      <alignment horizontal="right" vertical="center"/>
    </xf>
    <xf numFmtId="0" fontId="2" fillId="0" borderId="44" xfId="0" applyFont="1" applyBorder="1" applyAlignment="1">
      <alignment vertical="center"/>
    </xf>
    <xf numFmtId="0" fontId="13" fillId="0" borderId="41" xfId="0" applyFont="1" applyBorder="1" applyAlignment="1">
      <alignment horizontal="right" vertical="center"/>
    </xf>
    <xf numFmtId="6" fontId="2" fillId="0" borderId="0" xfId="0" applyNumberFormat="1" applyFont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42" xfId="0" applyFont="1" applyBorder="1" applyAlignment="1">
      <alignment horizontal="left" vertical="center"/>
    </xf>
    <xf numFmtId="0" fontId="13" fillId="0" borderId="41" xfId="0" applyFont="1" applyBorder="1" applyAlignment="1">
      <alignment vertical="center"/>
    </xf>
    <xf numFmtId="178" fontId="2" fillId="0" borderId="42" xfId="0" applyNumberFormat="1" applyFont="1" applyBorder="1" applyAlignment="1">
      <alignment horizontal="center" vertical="center"/>
    </xf>
    <xf numFmtId="178" fontId="2" fillId="0" borderId="42" xfId="0" applyNumberFormat="1" applyFont="1" applyBorder="1" applyAlignment="1">
      <alignment vertical="center"/>
    </xf>
    <xf numFmtId="0" fontId="13" fillId="0" borderId="42" xfId="0" applyFont="1" applyBorder="1" applyAlignment="1">
      <alignment horizontal="center" vertical="center"/>
    </xf>
    <xf numFmtId="38" fontId="2" fillId="0" borderId="42" xfId="0" applyNumberFormat="1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3" fillId="0" borderId="42" xfId="0" applyFont="1" applyBorder="1" applyAlignment="1">
      <alignment horizontal="right" vertical="center"/>
    </xf>
    <xf numFmtId="0" fontId="13" fillId="0" borderId="44" xfId="0" applyFont="1" applyBorder="1" applyAlignment="1">
      <alignment horizontal="right" vertical="center"/>
    </xf>
    <xf numFmtId="0" fontId="13" fillId="0" borderId="41" xfId="0" applyFont="1" applyBorder="1" applyAlignment="1">
      <alignment horizontal="center" vertical="center"/>
    </xf>
    <xf numFmtId="178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4" fillId="0" borderId="22" xfId="0" applyFont="1" applyBorder="1" applyAlignment="1">
      <alignment horizontal="right" vertical="center"/>
    </xf>
    <xf numFmtId="0" fontId="12" fillId="0" borderId="23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4" fillId="0" borderId="12" xfId="0" applyFont="1" applyBorder="1" applyAlignment="1">
      <alignment horizontal="right" vertical="center"/>
    </xf>
    <xf numFmtId="0" fontId="4" fillId="0" borderId="26" xfId="0" applyFont="1" applyBorder="1" applyAlignment="1">
      <alignment horizontal="right" vertical="center"/>
    </xf>
    <xf numFmtId="0" fontId="12" fillId="0" borderId="27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4" fillId="2" borderId="30" xfId="0" applyFont="1" applyFill="1" applyBorder="1" applyAlignment="1">
      <alignment horizontal="left" vertical="center"/>
    </xf>
    <xf numFmtId="0" fontId="12" fillId="0" borderId="31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right" vertical="center"/>
    </xf>
    <xf numFmtId="0" fontId="2" fillId="3" borderId="47" xfId="0" applyFont="1" applyFill="1" applyBorder="1" applyAlignment="1">
      <alignment horizontal="center" vertical="center"/>
    </xf>
    <xf numFmtId="0" fontId="12" fillId="0" borderId="48" xfId="0" applyFont="1" applyBorder="1" applyAlignment="1">
      <alignment vertical="center"/>
    </xf>
    <xf numFmtId="0" fontId="2" fillId="3" borderId="45" xfId="0" applyFont="1" applyFill="1" applyBorder="1" applyAlignment="1">
      <alignment horizontal="center" vertical="center"/>
    </xf>
    <xf numFmtId="0" fontId="12" fillId="0" borderId="46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142875</xdr:colOff>
      <xdr:row>5</xdr:row>
      <xdr:rowOff>47625</xdr:rowOff>
    </xdr:from>
    <xdr:ext cx="857250" cy="866775"/>
    <xdr:pic>
      <xdr:nvPicPr>
        <xdr:cNvPr id="2" name="image1.gif" title="画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3"/>
  </sheetPr>
  <dimension ref="A1:J1000"/>
  <sheetViews>
    <sheetView tabSelected="1" workbookViewId="0">
      <selection activeCell="B33" sqref="B33"/>
    </sheetView>
  </sheetViews>
  <sheetFormatPr defaultColWidth="14.41796875" defaultRowHeight="15" customHeight="1"/>
  <cols>
    <col min="1" max="2" width="14.578125" customWidth="1"/>
    <col min="3" max="3" width="21.26171875" customWidth="1"/>
    <col min="4" max="4" width="4.68359375" customWidth="1"/>
    <col min="5" max="5" width="3.41796875" customWidth="1"/>
    <col min="6" max="6" width="9.83984375" customWidth="1"/>
    <col min="7" max="7" width="16.15625" customWidth="1"/>
    <col min="8" max="26" width="8.68359375" customWidth="1"/>
  </cols>
  <sheetData>
    <row r="1" spans="1:10" ht="13.5" customHeight="1">
      <c r="A1" s="61" t="s">
        <v>0</v>
      </c>
      <c r="B1" s="62"/>
      <c r="C1" s="62"/>
      <c r="D1" s="62"/>
      <c r="E1" s="62"/>
      <c r="F1" s="62"/>
      <c r="G1" s="62"/>
    </row>
    <row r="2" spans="1:10" ht="13.5" customHeight="1">
      <c r="A2" s="62"/>
      <c r="B2" s="62"/>
      <c r="C2" s="62"/>
      <c r="D2" s="62"/>
      <c r="E2" s="62"/>
      <c r="F2" s="62"/>
      <c r="G2" s="62"/>
      <c r="H2" s="1"/>
      <c r="I2" s="1"/>
      <c r="J2" s="1"/>
    </row>
    <row r="3" spans="1:10" ht="21" customHeight="1">
      <c r="A3" s="63" t="s">
        <v>1</v>
      </c>
      <c r="B3" s="62"/>
      <c r="C3" s="62"/>
      <c r="F3" s="2"/>
      <c r="G3" s="3" t="s">
        <v>2</v>
      </c>
      <c r="H3" s="1"/>
      <c r="I3" s="1"/>
      <c r="J3" s="1"/>
    </row>
    <row r="4" spans="1:10" ht="16.5" customHeight="1">
      <c r="A4" s="64" t="s">
        <v>3</v>
      </c>
      <c r="B4" s="62"/>
      <c r="C4" s="62"/>
      <c r="F4" s="4" t="s">
        <v>4</v>
      </c>
      <c r="G4" s="2" t="s">
        <v>5</v>
      </c>
      <c r="H4" s="1"/>
      <c r="I4" s="1"/>
      <c r="J4" s="1"/>
    </row>
    <row r="5" spans="1:10" ht="17.25" customHeight="1">
      <c r="A5" s="2" t="s">
        <v>6</v>
      </c>
      <c r="B5" s="5"/>
      <c r="C5" s="5"/>
      <c r="F5" s="2"/>
      <c r="G5" s="2"/>
      <c r="H5" s="1"/>
      <c r="I5" s="1"/>
      <c r="J5" s="1"/>
    </row>
    <row r="6" spans="1:10" ht="18.75" customHeight="1">
      <c r="A6" s="63" t="s">
        <v>7</v>
      </c>
      <c r="B6" s="62"/>
      <c r="C6" s="62"/>
      <c r="D6" s="65" t="s">
        <v>8</v>
      </c>
      <c r="E6" s="62"/>
      <c r="F6" s="62"/>
      <c r="G6" s="62"/>
      <c r="H6" s="1"/>
      <c r="I6" s="1"/>
      <c r="J6" s="1"/>
    </row>
    <row r="7" spans="1:10" ht="12.75" customHeight="1">
      <c r="C7" s="2"/>
      <c r="D7" s="66" t="s">
        <v>9</v>
      </c>
      <c r="E7" s="62"/>
      <c r="F7" s="62"/>
      <c r="G7" s="62"/>
      <c r="H7" s="1"/>
      <c r="I7" s="1"/>
      <c r="J7" s="1"/>
    </row>
    <row r="8" spans="1:10" ht="14.25" customHeight="1">
      <c r="A8" s="6" t="s">
        <v>10</v>
      </c>
      <c r="B8" s="67" t="s">
        <v>11</v>
      </c>
      <c r="C8" s="62"/>
      <c r="D8" s="66" t="s">
        <v>12</v>
      </c>
      <c r="E8" s="62"/>
      <c r="F8" s="62"/>
      <c r="G8" s="62"/>
      <c r="H8" s="1"/>
      <c r="I8" s="1"/>
      <c r="J8" s="1"/>
    </row>
    <row r="9" spans="1:10" ht="17.25" customHeight="1">
      <c r="A9" s="6" t="s">
        <v>13</v>
      </c>
      <c r="B9" s="68" t="s">
        <v>14</v>
      </c>
      <c r="C9" s="62"/>
      <c r="D9" s="69" t="s">
        <v>15</v>
      </c>
      <c r="E9" s="62"/>
      <c r="F9" s="62"/>
      <c r="G9" s="7"/>
      <c r="H9" s="1"/>
      <c r="I9" s="1"/>
      <c r="J9" s="1"/>
    </row>
    <row r="10" spans="1:10" ht="17.25" customHeight="1">
      <c r="A10" s="6" t="s">
        <v>16</v>
      </c>
      <c r="B10" s="68" t="s">
        <v>17</v>
      </c>
      <c r="C10" s="62"/>
      <c r="D10" s="69" t="s">
        <v>18</v>
      </c>
      <c r="E10" s="62"/>
      <c r="F10" s="62"/>
      <c r="G10" s="7"/>
      <c r="H10" s="1"/>
      <c r="I10" s="1"/>
      <c r="J10" s="1"/>
    </row>
    <row r="11" spans="1:10" ht="17.25" customHeight="1">
      <c r="A11" s="6" t="s">
        <v>19</v>
      </c>
      <c r="B11" s="68" t="s">
        <v>20</v>
      </c>
      <c r="C11" s="62"/>
      <c r="D11" s="8"/>
      <c r="E11" s="7"/>
      <c r="F11" s="9" t="s">
        <v>21</v>
      </c>
      <c r="G11" s="10" t="s">
        <v>22</v>
      </c>
      <c r="H11" s="1"/>
      <c r="I11" s="1"/>
      <c r="J11" s="1"/>
    </row>
    <row r="12" spans="1:10" ht="12.75" customHeight="1">
      <c r="C12" s="2"/>
      <c r="D12" s="11"/>
      <c r="E12" s="11"/>
      <c r="F12" s="12"/>
      <c r="G12" s="12"/>
      <c r="H12" s="1"/>
      <c r="I12" s="1"/>
      <c r="J12" s="1"/>
    </row>
    <row r="13" spans="1:10" ht="19.5" customHeight="1">
      <c r="A13" s="88" t="s">
        <v>23</v>
      </c>
      <c r="B13" s="89"/>
      <c r="C13" s="71"/>
      <c r="D13" s="70" t="s">
        <v>24</v>
      </c>
      <c r="E13" s="71"/>
      <c r="F13" s="13" t="s">
        <v>25</v>
      </c>
      <c r="G13" s="14" t="s">
        <v>26</v>
      </c>
      <c r="H13" s="1"/>
      <c r="I13" s="1"/>
      <c r="J13" s="1"/>
    </row>
    <row r="14" spans="1:10" ht="19.5" customHeight="1">
      <c r="A14" s="90" t="s">
        <v>27</v>
      </c>
      <c r="B14" s="91"/>
      <c r="C14" s="92"/>
      <c r="D14" s="15"/>
      <c r="E14" s="16"/>
      <c r="F14" s="17"/>
      <c r="G14" s="18"/>
      <c r="H14" s="1"/>
      <c r="I14" s="1"/>
      <c r="J14" s="1"/>
    </row>
    <row r="15" spans="1:10" ht="19.5" customHeight="1">
      <c r="A15" s="72"/>
      <c r="B15" s="73"/>
      <c r="C15" s="74"/>
      <c r="D15" s="19"/>
      <c r="E15" s="20"/>
      <c r="F15" s="21"/>
      <c r="G15" s="22" t="str">
        <f t="shared" ref="G15:G23" si="0">IF(F15="","",F15*D15)</f>
        <v/>
      </c>
      <c r="H15" s="1"/>
      <c r="I15" s="1"/>
      <c r="J15" s="1"/>
    </row>
    <row r="16" spans="1:10" ht="19.5" customHeight="1">
      <c r="A16" s="72"/>
      <c r="B16" s="73"/>
      <c r="C16" s="74"/>
      <c r="D16" s="19"/>
      <c r="E16" s="20"/>
      <c r="F16" s="21"/>
      <c r="G16" s="22" t="str">
        <f t="shared" si="0"/>
        <v/>
      </c>
      <c r="H16" s="1"/>
      <c r="I16" s="1"/>
      <c r="J16" s="1"/>
    </row>
    <row r="17" spans="1:10" ht="19.5" customHeight="1">
      <c r="A17" s="72"/>
      <c r="B17" s="73"/>
      <c r="C17" s="74"/>
      <c r="D17" s="19"/>
      <c r="E17" s="20"/>
      <c r="F17" s="21"/>
      <c r="G17" s="22" t="str">
        <f t="shared" si="0"/>
        <v/>
      </c>
      <c r="H17" s="1"/>
      <c r="I17" s="1"/>
      <c r="J17" s="1"/>
    </row>
    <row r="18" spans="1:10" ht="19.5" customHeight="1">
      <c r="A18" s="72"/>
      <c r="B18" s="73"/>
      <c r="C18" s="74"/>
      <c r="D18" s="19"/>
      <c r="E18" s="20"/>
      <c r="F18" s="21"/>
      <c r="G18" s="22" t="str">
        <f t="shared" si="0"/>
        <v/>
      </c>
      <c r="H18" s="1"/>
      <c r="I18" s="1"/>
      <c r="J18" s="1"/>
    </row>
    <row r="19" spans="1:10" ht="19.5" customHeight="1">
      <c r="A19" s="72"/>
      <c r="B19" s="73"/>
      <c r="C19" s="74"/>
      <c r="D19" s="19"/>
      <c r="E19" s="20"/>
      <c r="F19" s="21"/>
      <c r="G19" s="22" t="str">
        <f t="shared" si="0"/>
        <v/>
      </c>
      <c r="H19" s="1"/>
      <c r="I19" s="1"/>
      <c r="J19" s="1"/>
    </row>
    <row r="20" spans="1:10" ht="19.5" customHeight="1">
      <c r="A20" s="72"/>
      <c r="B20" s="73"/>
      <c r="C20" s="74"/>
      <c r="D20" s="19"/>
      <c r="E20" s="20"/>
      <c r="F20" s="21"/>
      <c r="G20" s="22" t="str">
        <f t="shared" si="0"/>
        <v/>
      </c>
      <c r="H20" s="1"/>
      <c r="I20" s="1"/>
      <c r="J20" s="1"/>
    </row>
    <row r="21" spans="1:10" ht="19.5" customHeight="1">
      <c r="A21" s="72"/>
      <c r="B21" s="73"/>
      <c r="C21" s="74"/>
      <c r="D21" s="19"/>
      <c r="E21" s="20"/>
      <c r="F21" s="21"/>
      <c r="G21" s="22" t="str">
        <f t="shared" si="0"/>
        <v/>
      </c>
    </row>
    <row r="22" spans="1:10" ht="19.5" customHeight="1">
      <c r="A22" s="72"/>
      <c r="B22" s="73"/>
      <c r="C22" s="74"/>
      <c r="D22" s="19"/>
      <c r="E22" s="20"/>
      <c r="F22" s="21"/>
      <c r="G22" s="22" t="str">
        <f t="shared" si="0"/>
        <v/>
      </c>
    </row>
    <row r="23" spans="1:10" ht="19.5" customHeight="1">
      <c r="A23" s="75"/>
      <c r="B23" s="76"/>
      <c r="C23" s="77"/>
      <c r="D23" s="23"/>
      <c r="E23" s="24"/>
      <c r="F23" s="25"/>
      <c r="G23" s="26" t="str">
        <f t="shared" si="0"/>
        <v/>
      </c>
    </row>
    <row r="24" spans="1:10" ht="22.5" customHeight="1">
      <c r="A24" s="78" t="s">
        <v>28</v>
      </c>
      <c r="B24" s="79"/>
      <c r="C24" s="79"/>
      <c r="D24" s="79"/>
      <c r="E24" s="79"/>
      <c r="F24" s="80"/>
      <c r="G24" s="27" t="str">
        <f>IF(G14="","",SUM(G14:G23))</f>
        <v/>
      </c>
    </row>
    <row r="25" spans="1:10" ht="22.5" customHeight="1">
      <c r="A25" s="81" t="s">
        <v>29</v>
      </c>
      <c r="B25" s="73"/>
      <c r="C25" s="73"/>
      <c r="D25" s="73"/>
      <c r="E25" s="73"/>
      <c r="F25" s="28">
        <v>0.1</v>
      </c>
      <c r="G25" s="29" t="str">
        <f>IF(G24="","",G24*F25)</f>
        <v/>
      </c>
    </row>
    <row r="26" spans="1:10" ht="22.5" customHeight="1">
      <c r="A26" s="82" t="s">
        <v>30</v>
      </c>
      <c r="B26" s="83"/>
      <c r="C26" s="83"/>
      <c r="D26" s="83"/>
      <c r="E26" s="83"/>
      <c r="F26" s="84"/>
      <c r="G26" s="30" t="str">
        <f>IF(G24="","",G24+G25)</f>
        <v/>
      </c>
    </row>
    <row r="27" spans="1:10" ht="12.75" customHeight="1"/>
    <row r="28" spans="1:10" ht="12.75" customHeight="1">
      <c r="A28" s="85" t="s">
        <v>31</v>
      </c>
      <c r="B28" s="86"/>
      <c r="C28" s="86"/>
      <c r="D28" s="86"/>
      <c r="E28" s="86"/>
      <c r="F28" s="86"/>
      <c r="G28" s="87"/>
    </row>
    <row r="29" spans="1:10" ht="12.75" customHeight="1">
      <c r="A29" s="31"/>
      <c r="B29" s="1"/>
      <c r="C29" s="1"/>
      <c r="D29" s="1"/>
      <c r="E29" s="1"/>
      <c r="F29" s="1"/>
      <c r="G29" s="32"/>
    </row>
    <row r="30" spans="1:10" ht="12.75" customHeight="1">
      <c r="A30" s="31"/>
      <c r="B30" s="1"/>
      <c r="C30" s="1"/>
      <c r="D30" s="1"/>
      <c r="E30" s="1"/>
      <c r="F30" s="1"/>
      <c r="G30" s="32"/>
    </row>
    <row r="31" spans="1:10" ht="12.75" customHeight="1">
      <c r="A31" s="31"/>
      <c r="B31" s="1"/>
      <c r="C31" s="1"/>
      <c r="D31" s="1"/>
      <c r="E31" s="1"/>
      <c r="F31" s="1"/>
      <c r="G31" s="32"/>
    </row>
    <row r="32" spans="1:10" ht="12.75" customHeight="1">
      <c r="A32" s="31"/>
      <c r="B32" s="1"/>
      <c r="C32" s="1"/>
      <c r="D32" s="1"/>
      <c r="E32" s="1"/>
      <c r="F32" s="1"/>
      <c r="G32" s="32"/>
    </row>
    <row r="33" spans="1:7" ht="12.75" customHeight="1">
      <c r="A33" s="31"/>
      <c r="B33" s="1"/>
      <c r="C33" s="1"/>
      <c r="D33" s="1"/>
      <c r="E33" s="1"/>
      <c r="F33" s="1"/>
      <c r="G33" s="32"/>
    </row>
    <row r="34" spans="1:7" ht="12.75" customHeight="1">
      <c r="A34" s="31"/>
      <c r="B34" s="1"/>
      <c r="C34" s="1"/>
      <c r="D34" s="1"/>
      <c r="E34" s="1"/>
      <c r="F34" s="1"/>
      <c r="G34" s="32"/>
    </row>
    <row r="35" spans="1:7" ht="12.75" customHeight="1">
      <c r="A35" s="31"/>
      <c r="B35" s="1"/>
      <c r="C35" s="1"/>
      <c r="D35" s="1"/>
      <c r="E35" s="1"/>
      <c r="F35" s="1"/>
      <c r="G35" s="32"/>
    </row>
    <row r="36" spans="1:7" ht="12.75" customHeight="1">
      <c r="A36" s="31"/>
      <c r="B36" s="1"/>
      <c r="C36" s="1"/>
      <c r="D36" s="1"/>
      <c r="E36" s="1"/>
      <c r="F36" s="1"/>
      <c r="G36" s="32"/>
    </row>
    <row r="37" spans="1:7" ht="12.75" customHeight="1">
      <c r="A37" s="31"/>
      <c r="B37" s="1"/>
      <c r="C37" s="1"/>
      <c r="D37" s="1"/>
      <c r="E37" s="1"/>
      <c r="F37" s="1"/>
      <c r="G37" s="32"/>
    </row>
    <row r="38" spans="1:7" ht="12.75" customHeight="1">
      <c r="A38" s="31"/>
      <c r="B38" s="1"/>
      <c r="C38" s="1"/>
      <c r="D38" s="1"/>
      <c r="E38" s="1"/>
      <c r="F38" s="1"/>
      <c r="G38" s="32"/>
    </row>
    <row r="39" spans="1:7" ht="12.75" customHeight="1">
      <c r="A39" s="31"/>
      <c r="B39" s="1"/>
      <c r="C39" s="1"/>
      <c r="D39" s="1"/>
      <c r="E39" s="1"/>
      <c r="F39" s="1"/>
      <c r="G39" s="32"/>
    </row>
    <row r="40" spans="1:7" ht="12.75" customHeight="1">
      <c r="A40" s="31"/>
      <c r="B40" s="1"/>
      <c r="C40" s="1"/>
      <c r="D40" s="1"/>
      <c r="E40" s="1"/>
      <c r="F40" s="1"/>
      <c r="G40" s="32"/>
    </row>
    <row r="41" spans="1:7" ht="12.75" customHeight="1">
      <c r="A41" s="31"/>
      <c r="B41" s="1"/>
      <c r="C41" s="1"/>
      <c r="D41" s="1"/>
      <c r="E41" s="1"/>
      <c r="F41" s="1"/>
      <c r="G41" s="32"/>
    </row>
    <row r="42" spans="1:7" ht="12.75" customHeight="1">
      <c r="A42" s="33"/>
      <c r="B42" s="34"/>
      <c r="C42" s="34"/>
      <c r="D42" s="34"/>
      <c r="E42" s="34"/>
      <c r="F42" s="34"/>
      <c r="G42" s="35"/>
    </row>
    <row r="43" spans="1:7" ht="12.75" customHeight="1">
      <c r="A43" s="1"/>
      <c r="B43" s="1"/>
      <c r="C43" s="1"/>
      <c r="D43" s="1"/>
      <c r="E43" s="1"/>
      <c r="F43" s="1"/>
      <c r="G43" s="1"/>
    </row>
    <row r="44" spans="1:7" ht="12.75" customHeight="1">
      <c r="A44" s="36" t="s">
        <v>32</v>
      </c>
      <c r="B44" s="37"/>
      <c r="C44" s="37"/>
      <c r="D44" s="37"/>
      <c r="E44" s="37"/>
      <c r="F44" s="37"/>
      <c r="G44" s="38"/>
    </row>
    <row r="45" spans="1:7" ht="12.75" customHeight="1">
      <c r="A45" s="31"/>
      <c r="B45" s="1"/>
      <c r="C45" s="1"/>
      <c r="D45" s="1"/>
      <c r="E45" s="1"/>
      <c r="F45" s="1"/>
      <c r="G45" s="32"/>
    </row>
    <row r="46" spans="1:7" ht="12.75" customHeight="1">
      <c r="A46" s="31"/>
      <c r="B46" s="1"/>
      <c r="C46" s="1"/>
      <c r="D46" s="1"/>
      <c r="E46" s="1"/>
      <c r="F46" s="1"/>
      <c r="G46" s="32"/>
    </row>
    <row r="47" spans="1:7" ht="12.75" customHeight="1">
      <c r="A47" s="31"/>
      <c r="B47" s="1"/>
      <c r="C47" s="1"/>
      <c r="D47" s="1"/>
      <c r="E47" s="1"/>
      <c r="F47" s="1"/>
      <c r="G47" s="32"/>
    </row>
    <row r="48" spans="1:7" ht="12.75" customHeight="1">
      <c r="A48" s="33"/>
      <c r="B48" s="34"/>
      <c r="C48" s="34"/>
      <c r="D48" s="34"/>
      <c r="E48" s="34"/>
      <c r="F48" s="34"/>
      <c r="G48" s="35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9">
    <mergeCell ref="A26:F26"/>
    <mergeCell ref="A28:G28"/>
    <mergeCell ref="A13:C13"/>
    <mergeCell ref="A14:C14"/>
    <mergeCell ref="A15:C15"/>
    <mergeCell ref="A16:C16"/>
    <mergeCell ref="A17:C17"/>
    <mergeCell ref="A18:C18"/>
    <mergeCell ref="A19:C19"/>
    <mergeCell ref="A21:C21"/>
    <mergeCell ref="A22:C22"/>
    <mergeCell ref="A23:C23"/>
    <mergeCell ref="A24:F24"/>
    <mergeCell ref="A25:E25"/>
    <mergeCell ref="B10:C10"/>
    <mergeCell ref="D10:F10"/>
    <mergeCell ref="B11:C11"/>
    <mergeCell ref="D13:E13"/>
    <mergeCell ref="A20:C20"/>
    <mergeCell ref="D7:G7"/>
    <mergeCell ref="D8:G8"/>
    <mergeCell ref="B8:C8"/>
    <mergeCell ref="B9:C9"/>
    <mergeCell ref="D9:F9"/>
    <mergeCell ref="A1:G2"/>
    <mergeCell ref="A3:C3"/>
    <mergeCell ref="A4:C4"/>
    <mergeCell ref="A6:C6"/>
    <mergeCell ref="D6:G6"/>
  </mergeCells>
  <phoneticPr fontId="14"/>
  <printOptions horizontalCentered="1" verticalCentered="1"/>
  <pageMargins left="0.96829112577144083" right="0.70866141732283472" top="0.74803149606299213" bottom="0.39370078740157477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1796875" defaultRowHeight="15" customHeight="1"/>
  <cols>
    <col min="1" max="26" width="8.68359375" customWidth="1"/>
  </cols>
  <sheetData>
    <row r="1" spans="1:8" ht="12.75" customHeight="1">
      <c r="A1" s="39" t="s">
        <v>33</v>
      </c>
      <c r="B1" s="97"/>
      <c r="C1" s="74"/>
      <c r="D1" s="97" t="s">
        <v>25</v>
      </c>
      <c r="E1" s="74"/>
      <c r="F1" s="97" t="s">
        <v>34</v>
      </c>
      <c r="G1" s="74"/>
      <c r="H1" s="40" t="s">
        <v>33</v>
      </c>
    </row>
    <row r="2" spans="1:8" ht="12.75" customHeight="1">
      <c r="A2" s="41" t="s">
        <v>35</v>
      </c>
      <c r="B2" s="98" t="s">
        <v>36</v>
      </c>
      <c r="C2" s="74"/>
      <c r="D2" s="42">
        <v>23.5</v>
      </c>
      <c r="E2" s="42" t="s">
        <v>37</v>
      </c>
      <c r="F2" s="42"/>
      <c r="G2" s="42" t="s">
        <v>38</v>
      </c>
      <c r="H2" s="43">
        <f t="shared" ref="H2:H4" si="0">D2*F2</f>
        <v>0</v>
      </c>
    </row>
    <row r="3" spans="1:8" ht="12.75" customHeight="1">
      <c r="A3" s="94"/>
      <c r="B3" s="98" t="s">
        <v>39</v>
      </c>
      <c r="C3" s="74"/>
      <c r="D3" s="42">
        <v>48</v>
      </c>
      <c r="E3" s="42" t="s">
        <v>37</v>
      </c>
      <c r="F3" s="42"/>
      <c r="G3" s="42" t="s">
        <v>38</v>
      </c>
      <c r="H3" s="43">
        <f t="shared" si="0"/>
        <v>0</v>
      </c>
    </row>
    <row r="4" spans="1:8" ht="12.75" customHeight="1">
      <c r="A4" s="95"/>
      <c r="B4" s="98" t="s">
        <v>40</v>
      </c>
      <c r="C4" s="74"/>
      <c r="D4" s="42"/>
      <c r="E4" s="42" t="s">
        <v>37</v>
      </c>
      <c r="F4" s="42"/>
      <c r="G4" s="42" t="s">
        <v>38</v>
      </c>
      <c r="H4" s="43">
        <f t="shared" si="0"/>
        <v>0</v>
      </c>
    </row>
    <row r="5" spans="1:8" ht="12.75" customHeight="1">
      <c r="A5" s="99"/>
      <c r="B5" s="91"/>
      <c r="C5" s="91"/>
      <c r="D5" s="91"/>
      <c r="E5" s="91"/>
      <c r="F5" s="91"/>
      <c r="G5" s="91"/>
      <c r="H5" s="92"/>
    </row>
    <row r="6" spans="1:8" ht="12.75" customHeight="1">
      <c r="A6" s="44" t="s">
        <v>41</v>
      </c>
      <c r="B6" s="100" t="s">
        <v>42</v>
      </c>
      <c r="C6" s="74"/>
      <c r="D6" s="42">
        <v>60</v>
      </c>
      <c r="E6" s="42" t="s">
        <v>37</v>
      </c>
      <c r="F6" s="42"/>
      <c r="G6" s="42" t="s">
        <v>38</v>
      </c>
      <c r="H6" s="43">
        <f>D6*F6</f>
        <v>0</v>
      </c>
    </row>
    <row r="7" spans="1:8" ht="12.75" customHeight="1">
      <c r="A7" s="97"/>
      <c r="B7" s="73"/>
      <c r="C7" s="73"/>
      <c r="D7" s="73"/>
      <c r="E7" s="73"/>
      <c r="F7" s="73"/>
      <c r="G7" s="73"/>
      <c r="H7" s="74"/>
    </row>
    <row r="8" spans="1:8" ht="12.75" customHeight="1">
      <c r="A8" s="41" t="s">
        <v>43</v>
      </c>
      <c r="B8" s="98" t="s">
        <v>44</v>
      </c>
      <c r="C8" s="74"/>
      <c r="D8" s="42">
        <v>300</v>
      </c>
      <c r="E8" s="42" t="s">
        <v>45</v>
      </c>
      <c r="F8" s="42"/>
      <c r="G8" s="42" t="s">
        <v>46</v>
      </c>
      <c r="H8" s="43">
        <f t="shared" ref="H8:H13" si="1">D8*F8</f>
        <v>0</v>
      </c>
    </row>
    <row r="9" spans="1:8" ht="12.75" customHeight="1">
      <c r="A9" s="94"/>
      <c r="B9" s="98" t="s">
        <v>47</v>
      </c>
      <c r="C9" s="74"/>
      <c r="D9" s="42">
        <v>120</v>
      </c>
      <c r="E9" s="42" t="s">
        <v>45</v>
      </c>
      <c r="F9" s="42"/>
      <c r="G9" s="42" t="s">
        <v>46</v>
      </c>
      <c r="H9" s="43">
        <f t="shared" si="1"/>
        <v>0</v>
      </c>
    </row>
    <row r="10" spans="1:8" ht="12.75" customHeight="1">
      <c r="A10" s="96"/>
      <c r="B10" s="98" t="s">
        <v>48</v>
      </c>
      <c r="C10" s="74"/>
      <c r="D10" s="42">
        <v>350</v>
      </c>
      <c r="E10" s="42" t="s">
        <v>45</v>
      </c>
      <c r="F10" s="42"/>
      <c r="G10" s="42" t="s">
        <v>46</v>
      </c>
      <c r="H10" s="43">
        <f t="shared" si="1"/>
        <v>0</v>
      </c>
    </row>
    <row r="11" spans="1:8" ht="12.75" customHeight="1">
      <c r="A11" s="96"/>
      <c r="B11" s="98" t="s">
        <v>49</v>
      </c>
      <c r="C11" s="74"/>
      <c r="D11" s="42">
        <v>150</v>
      </c>
      <c r="E11" s="42" t="s">
        <v>45</v>
      </c>
      <c r="F11" s="42"/>
      <c r="G11" s="42" t="s">
        <v>46</v>
      </c>
      <c r="H11" s="43">
        <f t="shared" si="1"/>
        <v>0</v>
      </c>
    </row>
    <row r="12" spans="1:8" ht="12.75" customHeight="1">
      <c r="A12" s="96"/>
      <c r="B12" s="98" t="s">
        <v>50</v>
      </c>
      <c r="C12" s="74"/>
      <c r="D12" s="42">
        <v>340</v>
      </c>
      <c r="E12" s="42" t="s">
        <v>45</v>
      </c>
      <c r="F12" s="42"/>
      <c r="G12" s="42" t="s">
        <v>46</v>
      </c>
      <c r="H12" s="43">
        <f t="shared" si="1"/>
        <v>0</v>
      </c>
    </row>
    <row r="13" spans="1:8" ht="12.75" customHeight="1">
      <c r="A13" s="95"/>
      <c r="B13" s="98" t="s">
        <v>40</v>
      </c>
      <c r="C13" s="74"/>
      <c r="D13" s="42"/>
      <c r="E13" s="42" t="s">
        <v>45</v>
      </c>
      <c r="F13" s="42"/>
      <c r="G13" s="42" t="s">
        <v>46</v>
      </c>
      <c r="H13" s="43">
        <f t="shared" si="1"/>
        <v>0</v>
      </c>
    </row>
    <row r="14" spans="1:8" ht="12.75" customHeight="1">
      <c r="A14" s="99"/>
      <c r="B14" s="91"/>
      <c r="C14" s="91"/>
      <c r="D14" s="91"/>
      <c r="E14" s="91"/>
      <c r="F14" s="91"/>
      <c r="G14" s="91"/>
      <c r="H14" s="92"/>
    </row>
    <row r="15" spans="1:8" ht="12.75" customHeight="1">
      <c r="A15" s="41" t="s">
        <v>51</v>
      </c>
      <c r="B15" s="98" t="s">
        <v>52</v>
      </c>
      <c r="C15" s="74"/>
      <c r="D15" s="42">
        <v>600</v>
      </c>
      <c r="E15" s="42" t="s">
        <v>53</v>
      </c>
      <c r="F15" s="42"/>
      <c r="G15" s="42" t="s">
        <v>54</v>
      </c>
      <c r="H15" s="43">
        <f t="shared" ref="H15:H16" si="2">D15*F15</f>
        <v>0</v>
      </c>
    </row>
    <row r="16" spans="1:8" ht="12.75" customHeight="1">
      <c r="A16" s="45"/>
      <c r="B16" s="98" t="s">
        <v>55</v>
      </c>
      <c r="C16" s="74"/>
      <c r="D16" s="42">
        <v>200</v>
      </c>
      <c r="E16" s="42" t="s">
        <v>53</v>
      </c>
      <c r="F16" s="42"/>
      <c r="G16" s="42" t="s">
        <v>54</v>
      </c>
      <c r="H16" s="43">
        <f t="shared" si="2"/>
        <v>0</v>
      </c>
    </row>
    <row r="17" spans="1:8" ht="12.75" customHeight="1">
      <c r="A17" s="99"/>
      <c r="B17" s="91"/>
      <c r="C17" s="91"/>
      <c r="D17" s="91"/>
      <c r="E17" s="91"/>
      <c r="F17" s="91"/>
      <c r="G17" s="91"/>
      <c r="H17" s="92"/>
    </row>
    <row r="18" spans="1:8" ht="12.75" customHeight="1">
      <c r="A18" s="41" t="s">
        <v>56</v>
      </c>
      <c r="B18" s="98" t="s">
        <v>57</v>
      </c>
      <c r="C18" s="74"/>
      <c r="D18" s="42">
        <v>195</v>
      </c>
      <c r="E18" s="42" t="s">
        <v>45</v>
      </c>
      <c r="F18" s="42"/>
      <c r="G18" s="42" t="s">
        <v>46</v>
      </c>
      <c r="H18" s="43">
        <f t="shared" ref="H18:H21" si="3">D18*F18</f>
        <v>0</v>
      </c>
    </row>
    <row r="19" spans="1:8" ht="12.75" customHeight="1">
      <c r="A19" s="94"/>
      <c r="B19" s="98" t="s">
        <v>58</v>
      </c>
      <c r="C19" s="74"/>
      <c r="D19" s="42">
        <v>92</v>
      </c>
      <c r="E19" s="42" t="s">
        <v>45</v>
      </c>
      <c r="F19" s="42"/>
      <c r="G19" s="42" t="s">
        <v>46</v>
      </c>
      <c r="H19" s="43">
        <f t="shared" si="3"/>
        <v>0</v>
      </c>
    </row>
    <row r="20" spans="1:8" ht="12.75" customHeight="1">
      <c r="A20" s="96"/>
      <c r="B20" s="98" t="s">
        <v>59</v>
      </c>
      <c r="C20" s="74"/>
      <c r="D20" s="42">
        <v>100</v>
      </c>
      <c r="E20" s="42" t="s">
        <v>45</v>
      </c>
      <c r="F20" s="42"/>
      <c r="G20" s="42" t="s">
        <v>46</v>
      </c>
      <c r="H20" s="43">
        <f t="shared" si="3"/>
        <v>0</v>
      </c>
    </row>
    <row r="21" spans="1:8" ht="12.75" customHeight="1">
      <c r="A21" s="95"/>
      <c r="B21" s="98" t="s">
        <v>60</v>
      </c>
      <c r="C21" s="74"/>
      <c r="D21" s="42">
        <v>1200</v>
      </c>
      <c r="E21" s="42" t="s">
        <v>45</v>
      </c>
      <c r="F21" s="42"/>
      <c r="G21" s="42" t="s">
        <v>46</v>
      </c>
      <c r="H21" s="43">
        <f t="shared" si="3"/>
        <v>0</v>
      </c>
    </row>
    <row r="22" spans="1:8" ht="12.75" customHeight="1">
      <c r="A22" s="99"/>
      <c r="B22" s="91"/>
      <c r="C22" s="91"/>
      <c r="D22" s="91"/>
      <c r="E22" s="91"/>
      <c r="F22" s="91"/>
      <c r="G22" s="91"/>
      <c r="H22" s="92"/>
    </row>
    <row r="23" spans="1:8" ht="12.75" customHeight="1">
      <c r="A23" s="41" t="s">
        <v>40</v>
      </c>
      <c r="B23" s="93"/>
      <c r="C23" s="74"/>
      <c r="D23" s="42"/>
      <c r="E23" s="42" t="s">
        <v>45</v>
      </c>
      <c r="F23" s="42"/>
      <c r="G23" s="42" t="s">
        <v>46</v>
      </c>
      <c r="H23" s="43">
        <f t="shared" ref="H23:H25" si="4">D23*F23</f>
        <v>0</v>
      </c>
    </row>
    <row r="24" spans="1:8" ht="12.75" customHeight="1">
      <c r="A24" s="94"/>
      <c r="B24" s="93"/>
      <c r="C24" s="74"/>
      <c r="D24" s="42"/>
      <c r="E24" s="42" t="s">
        <v>45</v>
      </c>
      <c r="F24" s="42"/>
      <c r="G24" s="42" t="s">
        <v>46</v>
      </c>
      <c r="H24" s="43">
        <f t="shared" si="4"/>
        <v>0</v>
      </c>
    </row>
    <row r="25" spans="1:8" ht="12.75" customHeight="1">
      <c r="A25" s="95"/>
      <c r="B25" s="93"/>
      <c r="C25" s="74"/>
      <c r="D25" s="42"/>
      <c r="E25" s="42" t="s">
        <v>45</v>
      </c>
      <c r="F25" s="42"/>
      <c r="G25" s="42" t="s">
        <v>46</v>
      </c>
      <c r="H25" s="43">
        <f t="shared" si="4"/>
        <v>0</v>
      </c>
    </row>
    <row r="26" spans="1:8" ht="12.75" customHeight="1">
      <c r="A26" s="103"/>
      <c r="B26" s="104"/>
      <c r="C26" s="104"/>
      <c r="D26" s="104"/>
      <c r="E26" s="104"/>
      <c r="F26" s="104"/>
      <c r="G26" s="104"/>
      <c r="H26" s="104"/>
    </row>
    <row r="27" spans="1:8" ht="12.75" customHeight="1">
      <c r="A27" s="46" t="s">
        <v>61</v>
      </c>
      <c r="B27" s="98" t="s">
        <v>62</v>
      </c>
      <c r="C27" s="73"/>
      <c r="D27" s="73"/>
      <c r="E27" s="74"/>
      <c r="F27" s="42"/>
      <c r="G27" s="42" t="s">
        <v>63</v>
      </c>
      <c r="H27" s="47"/>
    </row>
    <row r="28" spans="1:8" ht="12.75" customHeight="1">
      <c r="A28" s="94"/>
      <c r="B28" s="98" t="s">
        <v>64</v>
      </c>
      <c r="C28" s="73"/>
      <c r="D28" s="73"/>
      <c r="E28" s="74"/>
      <c r="F28" s="42"/>
      <c r="G28" s="42" t="s">
        <v>63</v>
      </c>
      <c r="H28" s="47"/>
    </row>
    <row r="29" spans="1:8" ht="12.75" customHeight="1">
      <c r="A29" s="95"/>
      <c r="B29" s="98" t="s">
        <v>65</v>
      </c>
      <c r="C29" s="73"/>
      <c r="D29" s="73"/>
      <c r="E29" s="74"/>
      <c r="F29" s="42"/>
      <c r="G29" s="42" t="s">
        <v>63</v>
      </c>
    </row>
    <row r="30" spans="1:8" ht="12.75" customHeight="1"/>
    <row r="31" spans="1:8" ht="12.75" customHeight="1">
      <c r="A31" s="46" t="s">
        <v>66</v>
      </c>
      <c r="B31" s="48" t="s">
        <v>67</v>
      </c>
      <c r="C31" s="42" t="s">
        <v>68</v>
      </c>
      <c r="D31" s="42">
        <v>0.5</v>
      </c>
      <c r="E31" s="42" t="s">
        <v>63</v>
      </c>
      <c r="F31" s="97"/>
      <c r="G31" s="73"/>
      <c r="H31" s="74"/>
    </row>
    <row r="32" spans="1:8" ht="12.75" customHeight="1">
      <c r="A32" s="94"/>
      <c r="B32" s="48" t="s">
        <v>69</v>
      </c>
      <c r="C32" s="49" t="s">
        <v>70</v>
      </c>
      <c r="D32" s="42">
        <v>1.2</v>
      </c>
      <c r="E32" s="42" t="s">
        <v>63</v>
      </c>
      <c r="F32" s="105" t="s">
        <v>71</v>
      </c>
      <c r="G32" s="73"/>
      <c r="H32" s="74"/>
    </row>
    <row r="33" spans="1:8" ht="12.75" customHeight="1">
      <c r="A33" s="96"/>
      <c r="B33" s="48" t="s">
        <v>72</v>
      </c>
      <c r="C33" s="49" t="s">
        <v>73</v>
      </c>
      <c r="D33" s="42">
        <v>0.5</v>
      </c>
      <c r="E33" s="42" t="s">
        <v>63</v>
      </c>
      <c r="F33" s="105" t="s">
        <v>74</v>
      </c>
      <c r="G33" s="73"/>
      <c r="H33" s="74"/>
    </row>
    <row r="34" spans="1:8" ht="12.75" customHeight="1">
      <c r="A34" s="95"/>
      <c r="B34" s="48" t="s">
        <v>75</v>
      </c>
      <c r="C34" s="49" t="s">
        <v>76</v>
      </c>
      <c r="D34" s="42">
        <v>0.1</v>
      </c>
      <c r="E34" s="42" t="s">
        <v>63</v>
      </c>
      <c r="F34" s="97"/>
      <c r="G34" s="73"/>
      <c r="H34" s="74"/>
    </row>
    <row r="35" spans="1:8" ht="12.75" customHeight="1">
      <c r="A35" s="101"/>
      <c r="B35" s="102"/>
      <c r="C35" s="102"/>
      <c r="D35" s="102"/>
      <c r="E35" s="102"/>
      <c r="F35" s="102"/>
      <c r="G35" s="102"/>
      <c r="H35" s="102"/>
    </row>
    <row r="36" spans="1:8" ht="12.75" customHeight="1">
      <c r="A36" s="50" t="s">
        <v>77</v>
      </c>
      <c r="B36" s="93" t="s">
        <v>78</v>
      </c>
      <c r="C36" s="74"/>
      <c r="D36" s="97" t="s">
        <v>79</v>
      </c>
      <c r="E36" s="73"/>
      <c r="F36" s="73"/>
      <c r="G36" s="74"/>
      <c r="H36" s="51" t="s">
        <v>80</v>
      </c>
    </row>
    <row r="37" spans="1:8" ht="12.75" customHeight="1">
      <c r="A37" s="94"/>
      <c r="B37" s="93"/>
      <c r="C37" s="74"/>
      <c r="D37" s="97"/>
      <c r="E37" s="73"/>
      <c r="F37" s="73"/>
      <c r="G37" s="74"/>
      <c r="H37" s="52"/>
    </row>
    <row r="38" spans="1:8" ht="12.75" customHeight="1">
      <c r="A38" s="96"/>
      <c r="B38" s="93"/>
      <c r="C38" s="74"/>
      <c r="D38" s="97"/>
      <c r="E38" s="73"/>
      <c r="F38" s="73"/>
      <c r="G38" s="74"/>
      <c r="H38" s="52"/>
    </row>
    <row r="39" spans="1:8" ht="12.75" customHeight="1">
      <c r="A39" s="95"/>
      <c r="B39" s="93"/>
      <c r="C39" s="74"/>
      <c r="D39" s="97"/>
      <c r="E39" s="73"/>
      <c r="F39" s="73"/>
      <c r="G39" s="74"/>
      <c r="H39" s="52"/>
    </row>
    <row r="40" spans="1:8" ht="12.75" customHeight="1"/>
    <row r="41" spans="1:8" ht="12.75" customHeight="1"/>
    <row r="42" spans="1:8" ht="12.75" customHeight="1"/>
    <row r="43" spans="1:8" ht="12.75" customHeight="1"/>
    <row r="44" spans="1:8" ht="12.75" customHeight="1"/>
    <row r="45" spans="1:8" ht="12.75" customHeight="1"/>
    <row r="46" spans="1:8" ht="12.75" customHeight="1"/>
    <row r="47" spans="1:8" ht="12.75" customHeight="1"/>
    <row r="48" spans="1: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1">
    <mergeCell ref="D37:G37"/>
    <mergeCell ref="D38:G38"/>
    <mergeCell ref="D39:G39"/>
    <mergeCell ref="A26:H26"/>
    <mergeCell ref="B27:E27"/>
    <mergeCell ref="B28:E28"/>
    <mergeCell ref="B29:E29"/>
    <mergeCell ref="F31:H31"/>
    <mergeCell ref="F32:H32"/>
    <mergeCell ref="F33:H33"/>
    <mergeCell ref="B23:C23"/>
    <mergeCell ref="A24:A25"/>
    <mergeCell ref="F34:H34"/>
    <mergeCell ref="A35:H35"/>
    <mergeCell ref="D36:G36"/>
    <mergeCell ref="A19:A21"/>
    <mergeCell ref="B19:C19"/>
    <mergeCell ref="B20:C20"/>
    <mergeCell ref="B21:C21"/>
    <mergeCell ref="A22:H22"/>
    <mergeCell ref="B15:C15"/>
    <mergeCell ref="B16:C16"/>
    <mergeCell ref="A17:H17"/>
    <mergeCell ref="B18:C18"/>
    <mergeCell ref="B4:C4"/>
    <mergeCell ref="B6:C6"/>
    <mergeCell ref="B8:C8"/>
    <mergeCell ref="A9:A13"/>
    <mergeCell ref="B9:C9"/>
    <mergeCell ref="B10:C10"/>
    <mergeCell ref="B11:C11"/>
    <mergeCell ref="A5:H5"/>
    <mergeCell ref="A7:H7"/>
    <mergeCell ref="B12:C12"/>
    <mergeCell ref="B13:C13"/>
    <mergeCell ref="A14:H14"/>
    <mergeCell ref="B1:C1"/>
    <mergeCell ref="D1:E1"/>
    <mergeCell ref="F1:G1"/>
    <mergeCell ref="B2:C2"/>
    <mergeCell ref="A3:A4"/>
    <mergeCell ref="B3:C3"/>
    <mergeCell ref="B38:C38"/>
    <mergeCell ref="B39:C39"/>
    <mergeCell ref="B24:C24"/>
    <mergeCell ref="B25:C25"/>
    <mergeCell ref="A28:A29"/>
    <mergeCell ref="A32:A34"/>
    <mergeCell ref="B36:C36"/>
    <mergeCell ref="A37:A39"/>
    <mergeCell ref="B37:C37"/>
  </mergeCells>
  <phoneticPr fontId="1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1796875" defaultRowHeight="15" customHeight="1"/>
  <cols>
    <col min="1" max="26" width="8.68359375" customWidth="1"/>
  </cols>
  <sheetData>
    <row r="1" spans="1:8" ht="12.75" customHeight="1">
      <c r="A1" s="53" t="s">
        <v>33</v>
      </c>
      <c r="B1" s="97"/>
      <c r="C1" s="74"/>
      <c r="D1" s="97" t="s">
        <v>25</v>
      </c>
      <c r="E1" s="74"/>
      <c r="F1" s="97" t="s">
        <v>34</v>
      </c>
      <c r="G1" s="74"/>
      <c r="H1" s="40" t="s">
        <v>33</v>
      </c>
    </row>
    <row r="2" spans="1:8" ht="12.75" customHeight="1">
      <c r="A2" s="41" t="s">
        <v>35</v>
      </c>
      <c r="B2" s="98" t="s">
        <v>36</v>
      </c>
      <c r="C2" s="74"/>
      <c r="D2" s="42">
        <v>23.5</v>
      </c>
      <c r="E2" s="42" t="s">
        <v>37</v>
      </c>
      <c r="F2" s="42"/>
      <c r="G2" s="42" t="s">
        <v>38</v>
      </c>
      <c r="H2" s="43">
        <f t="shared" ref="H2:H11" si="0">D2*F2</f>
        <v>0</v>
      </c>
    </row>
    <row r="3" spans="1:8" ht="12.75" customHeight="1">
      <c r="A3" s="94"/>
      <c r="B3" s="98" t="s">
        <v>39</v>
      </c>
      <c r="C3" s="74"/>
      <c r="D3" s="42">
        <v>48</v>
      </c>
      <c r="E3" s="42" t="s">
        <v>37</v>
      </c>
      <c r="F3" s="42"/>
      <c r="G3" s="42" t="s">
        <v>38</v>
      </c>
      <c r="H3" s="43">
        <f t="shared" si="0"/>
        <v>0</v>
      </c>
    </row>
    <row r="4" spans="1:8" ht="12.75" customHeight="1">
      <c r="A4" s="96"/>
      <c r="B4" s="98" t="s">
        <v>81</v>
      </c>
      <c r="C4" s="74"/>
      <c r="D4" s="54">
        <v>1450</v>
      </c>
      <c r="E4" s="42" t="s">
        <v>37</v>
      </c>
      <c r="F4" s="42"/>
      <c r="G4" s="42" t="s">
        <v>38</v>
      </c>
      <c r="H4" s="43">
        <f t="shared" si="0"/>
        <v>0</v>
      </c>
    </row>
    <row r="5" spans="1:8" ht="12.75" customHeight="1">
      <c r="A5" s="96"/>
      <c r="B5" s="98" t="s">
        <v>82</v>
      </c>
      <c r="C5" s="74"/>
      <c r="D5" s="54">
        <v>1450</v>
      </c>
      <c r="E5" s="42" t="s">
        <v>37</v>
      </c>
      <c r="F5" s="42"/>
      <c r="G5" s="42" t="s">
        <v>38</v>
      </c>
      <c r="H5" s="43">
        <f t="shared" si="0"/>
        <v>0</v>
      </c>
    </row>
    <row r="6" spans="1:8" ht="12.75" customHeight="1">
      <c r="A6" s="96"/>
      <c r="B6" s="98" t="s">
        <v>83</v>
      </c>
      <c r="C6" s="74"/>
      <c r="D6" s="54">
        <v>1450</v>
      </c>
      <c r="E6" s="42" t="s">
        <v>37</v>
      </c>
      <c r="F6" s="42"/>
      <c r="G6" s="42" t="s">
        <v>38</v>
      </c>
      <c r="H6" s="43">
        <f t="shared" si="0"/>
        <v>0</v>
      </c>
    </row>
    <row r="7" spans="1:8" ht="12.75" customHeight="1">
      <c r="A7" s="96"/>
      <c r="B7" s="98" t="s">
        <v>84</v>
      </c>
      <c r="C7" s="74"/>
      <c r="D7" s="54">
        <v>1450</v>
      </c>
      <c r="E7" s="42" t="s">
        <v>37</v>
      </c>
      <c r="F7" s="42"/>
      <c r="G7" s="42" t="s">
        <v>38</v>
      </c>
      <c r="H7" s="43">
        <f t="shared" si="0"/>
        <v>0</v>
      </c>
    </row>
    <row r="8" spans="1:8" ht="12.75" customHeight="1">
      <c r="A8" s="96"/>
      <c r="B8" s="98" t="s">
        <v>85</v>
      </c>
      <c r="C8" s="74"/>
      <c r="D8" s="54">
        <v>1090</v>
      </c>
      <c r="E8" s="42" t="s">
        <v>37</v>
      </c>
      <c r="F8" s="42"/>
      <c r="G8" s="42" t="s">
        <v>38</v>
      </c>
      <c r="H8" s="43">
        <f t="shared" si="0"/>
        <v>0</v>
      </c>
    </row>
    <row r="9" spans="1:8" ht="12.75" customHeight="1">
      <c r="A9" s="96"/>
      <c r="B9" s="98" t="s">
        <v>86</v>
      </c>
      <c r="C9" s="74"/>
      <c r="D9" s="54">
        <v>2540</v>
      </c>
      <c r="E9" s="42" t="s">
        <v>37</v>
      </c>
      <c r="F9" s="42"/>
      <c r="G9" s="42" t="s">
        <v>38</v>
      </c>
      <c r="H9" s="43">
        <f t="shared" si="0"/>
        <v>0</v>
      </c>
    </row>
    <row r="10" spans="1:8" ht="12.75" customHeight="1">
      <c r="A10" s="96"/>
      <c r="B10" s="98" t="s">
        <v>87</v>
      </c>
      <c r="C10" s="74"/>
      <c r="D10" s="54">
        <v>6500</v>
      </c>
      <c r="E10" s="42" t="s">
        <v>37</v>
      </c>
      <c r="F10" s="42"/>
      <c r="G10" s="42" t="s">
        <v>38</v>
      </c>
      <c r="H10" s="43">
        <f t="shared" si="0"/>
        <v>0</v>
      </c>
    </row>
    <row r="11" spans="1:8" ht="12.75" customHeight="1">
      <c r="A11" s="95"/>
      <c r="B11" s="98" t="s">
        <v>40</v>
      </c>
      <c r="C11" s="74"/>
      <c r="D11" s="42"/>
      <c r="E11" s="42" t="s">
        <v>37</v>
      </c>
      <c r="F11" s="42"/>
      <c r="G11" s="42" t="s">
        <v>38</v>
      </c>
      <c r="H11" s="43">
        <f t="shared" si="0"/>
        <v>0</v>
      </c>
    </row>
    <row r="12" spans="1:8" ht="12.75" customHeight="1">
      <c r="A12" s="99"/>
      <c r="B12" s="91"/>
      <c r="C12" s="91"/>
      <c r="D12" s="91"/>
      <c r="E12" s="91"/>
      <c r="F12" s="91"/>
      <c r="G12" s="91"/>
      <c r="H12" s="92"/>
    </row>
    <row r="13" spans="1:8" ht="12.75" customHeight="1">
      <c r="A13" s="44" t="s">
        <v>41</v>
      </c>
      <c r="B13" s="100" t="s">
        <v>42</v>
      </c>
      <c r="C13" s="74"/>
      <c r="D13" s="42">
        <v>60</v>
      </c>
      <c r="E13" s="42" t="s">
        <v>37</v>
      </c>
      <c r="F13" s="42"/>
      <c r="G13" s="42" t="s">
        <v>38</v>
      </c>
      <c r="H13" s="43">
        <f>D13*F13</f>
        <v>0</v>
      </c>
    </row>
    <row r="14" spans="1:8" ht="12.75" customHeight="1">
      <c r="A14" s="97"/>
      <c r="B14" s="73"/>
      <c r="C14" s="73"/>
      <c r="D14" s="73"/>
      <c r="E14" s="73"/>
      <c r="F14" s="73"/>
      <c r="G14" s="73"/>
      <c r="H14" s="74"/>
    </row>
    <row r="15" spans="1:8" ht="12.75" customHeight="1">
      <c r="A15" s="41" t="s">
        <v>43</v>
      </c>
      <c r="B15" s="98" t="s">
        <v>44</v>
      </c>
      <c r="C15" s="74"/>
      <c r="D15" s="42">
        <v>300</v>
      </c>
      <c r="E15" s="42" t="s">
        <v>45</v>
      </c>
      <c r="F15" s="42"/>
      <c r="G15" s="42" t="s">
        <v>46</v>
      </c>
      <c r="H15" s="43">
        <f t="shared" ref="H15:H25" si="1">D15*F15</f>
        <v>0</v>
      </c>
    </row>
    <row r="16" spans="1:8" ht="12.75" customHeight="1">
      <c r="A16" s="94"/>
      <c r="B16" s="98" t="s">
        <v>47</v>
      </c>
      <c r="C16" s="74"/>
      <c r="D16" s="42">
        <v>120</v>
      </c>
      <c r="E16" s="42" t="s">
        <v>45</v>
      </c>
      <c r="F16" s="42"/>
      <c r="G16" s="42" t="s">
        <v>46</v>
      </c>
      <c r="H16" s="43">
        <f t="shared" si="1"/>
        <v>0</v>
      </c>
    </row>
    <row r="17" spans="1:8" ht="12.75" customHeight="1">
      <c r="A17" s="96"/>
      <c r="B17" s="98" t="s">
        <v>48</v>
      </c>
      <c r="C17" s="74"/>
      <c r="D17" s="42">
        <v>350</v>
      </c>
      <c r="E17" s="42" t="s">
        <v>45</v>
      </c>
      <c r="F17" s="42"/>
      <c r="G17" s="42" t="s">
        <v>46</v>
      </c>
      <c r="H17" s="43">
        <f t="shared" si="1"/>
        <v>0</v>
      </c>
    </row>
    <row r="18" spans="1:8" ht="12.75" customHeight="1">
      <c r="A18" s="96"/>
      <c r="B18" s="98" t="s">
        <v>49</v>
      </c>
      <c r="C18" s="74"/>
      <c r="D18" s="42">
        <v>150</v>
      </c>
      <c r="E18" s="42" t="s">
        <v>45</v>
      </c>
      <c r="F18" s="42"/>
      <c r="G18" s="42" t="s">
        <v>46</v>
      </c>
      <c r="H18" s="43">
        <f t="shared" si="1"/>
        <v>0</v>
      </c>
    </row>
    <row r="19" spans="1:8" ht="12.75" customHeight="1">
      <c r="A19" s="96"/>
      <c r="B19" s="98" t="s">
        <v>50</v>
      </c>
      <c r="C19" s="74"/>
      <c r="D19" s="42">
        <v>340</v>
      </c>
      <c r="E19" s="42" t="s">
        <v>45</v>
      </c>
      <c r="F19" s="42"/>
      <c r="G19" s="42" t="s">
        <v>46</v>
      </c>
      <c r="H19" s="43">
        <f t="shared" si="1"/>
        <v>0</v>
      </c>
    </row>
    <row r="20" spans="1:8" ht="12.75" customHeight="1">
      <c r="A20" s="96"/>
      <c r="B20" s="98" t="s">
        <v>88</v>
      </c>
      <c r="C20" s="74"/>
      <c r="D20" s="42">
        <v>660</v>
      </c>
      <c r="E20" s="42" t="s">
        <v>45</v>
      </c>
      <c r="F20" s="42"/>
      <c r="G20" s="42" t="s">
        <v>46</v>
      </c>
      <c r="H20" s="43">
        <f t="shared" si="1"/>
        <v>0</v>
      </c>
    </row>
    <row r="21" spans="1:8" ht="12.75" customHeight="1">
      <c r="A21" s="96"/>
      <c r="B21" s="98" t="s">
        <v>89</v>
      </c>
      <c r="C21" s="74"/>
      <c r="D21" s="42">
        <v>175</v>
      </c>
      <c r="E21" s="42" t="s">
        <v>45</v>
      </c>
      <c r="F21" s="42"/>
      <c r="G21" s="42" t="s">
        <v>46</v>
      </c>
      <c r="H21" s="43">
        <f t="shared" si="1"/>
        <v>0</v>
      </c>
    </row>
    <row r="22" spans="1:8" ht="12.75" customHeight="1">
      <c r="A22" s="96"/>
      <c r="B22" s="98" t="s">
        <v>90</v>
      </c>
      <c r="C22" s="74"/>
      <c r="D22" s="42">
        <v>320</v>
      </c>
      <c r="E22" s="42" t="s">
        <v>45</v>
      </c>
      <c r="F22" s="42"/>
      <c r="G22" s="42" t="s">
        <v>46</v>
      </c>
      <c r="H22" s="43">
        <f t="shared" si="1"/>
        <v>0</v>
      </c>
    </row>
    <row r="23" spans="1:8" ht="12.75" customHeight="1">
      <c r="A23" s="96"/>
      <c r="B23" s="98" t="s">
        <v>91</v>
      </c>
      <c r="C23" s="74"/>
      <c r="D23" s="42">
        <v>200</v>
      </c>
      <c r="E23" s="42" t="s">
        <v>45</v>
      </c>
      <c r="F23" s="42"/>
      <c r="G23" s="42" t="s">
        <v>46</v>
      </c>
      <c r="H23" s="43">
        <f t="shared" si="1"/>
        <v>0</v>
      </c>
    </row>
    <row r="24" spans="1:8" ht="12.75" customHeight="1">
      <c r="A24" s="96"/>
      <c r="B24" s="98" t="s">
        <v>92</v>
      </c>
      <c r="C24" s="74"/>
      <c r="D24" s="42">
        <v>340</v>
      </c>
      <c r="E24" s="42" t="s">
        <v>45</v>
      </c>
      <c r="F24" s="42"/>
      <c r="G24" s="42" t="s">
        <v>46</v>
      </c>
      <c r="H24" s="43">
        <f t="shared" si="1"/>
        <v>0</v>
      </c>
    </row>
    <row r="25" spans="1:8" ht="12.75" customHeight="1">
      <c r="A25" s="95"/>
      <c r="B25" s="98" t="s">
        <v>40</v>
      </c>
      <c r="C25" s="74"/>
      <c r="D25" s="42"/>
      <c r="E25" s="42" t="s">
        <v>45</v>
      </c>
      <c r="F25" s="42"/>
      <c r="G25" s="42" t="s">
        <v>46</v>
      </c>
      <c r="H25" s="43">
        <f t="shared" si="1"/>
        <v>0</v>
      </c>
    </row>
    <row r="26" spans="1:8" ht="12.75" customHeight="1">
      <c r="A26" s="55"/>
      <c r="B26" s="97"/>
      <c r="C26" s="73"/>
      <c r="D26" s="73"/>
      <c r="E26" s="73"/>
      <c r="F26" s="73"/>
      <c r="G26" s="73"/>
      <c r="H26" s="74"/>
    </row>
    <row r="27" spans="1:8" ht="12.75" customHeight="1">
      <c r="A27" s="56" t="s">
        <v>93</v>
      </c>
      <c r="B27" s="100" t="s">
        <v>94</v>
      </c>
      <c r="C27" s="74"/>
      <c r="D27" s="42">
        <v>200</v>
      </c>
      <c r="E27" s="42" t="s">
        <v>45</v>
      </c>
      <c r="F27" s="42"/>
      <c r="G27" s="42" t="s">
        <v>46</v>
      </c>
      <c r="H27" s="43">
        <f t="shared" ref="H27:H28" si="2">D27*F27</f>
        <v>0</v>
      </c>
    </row>
    <row r="28" spans="1:8" ht="12.75" customHeight="1">
      <c r="B28" s="100" t="s">
        <v>95</v>
      </c>
      <c r="C28" s="74"/>
      <c r="D28" s="42">
        <v>140</v>
      </c>
      <c r="E28" s="42" t="s">
        <v>45</v>
      </c>
      <c r="F28" s="42"/>
      <c r="G28" s="42" t="s">
        <v>46</v>
      </c>
      <c r="H28" s="43">
        <f t="shared" si="2"/>
        <v>0</v>
      </c>
    </row>
    <row r="29" spans="1:8" ht="12.75" customHeight="1">
      <c r="A29" s="40"/>
      <c r="B29" s="97"/>
      <c r="C29" s="73"/>
      <c r="D29" s="73"/>
      <c r="E29" s="73"/>
      <c r="F29" s="73"/>
      <c r="G29" s="73"/>
      <c r="H29" s="74"/>
    </row>
    <row r="30" spans="1:8" ht="12.75" customHeight="1">
      <c r="A30" s="97"/>
      <c r="B30" s="73"/>
      <c r="C30" s="73"/>
      <c r="D30" s="73"/>
      <c r="E30" s="73"/>
      <c r="F30" s="73"/>
      <c r="G30" s="73"/>
      <c r="H30" s="74"/>
    </row>
    <row r="31" spans="1:8" ht="12.75" customHeight="1">
      <c r="A31" s="41" t="s">
        <v>51</v>
      </c>
      <c r="B31" s="98" t="s">
        <v>52</v>
      </c>
      <c r="C31" s="74"/>
      <c r="D31" s="42">
        <v>600</v>
      </c>
      <c r="E31" s="42" t="s">
        <v>53</v>
      </c>
      <c r="F31" s="42"/>
      <c r="G31" s="42" t="s">
        <v>54</v>
      </c>
      <c r="H31" s="43">
        <f t="shared" ref="H31:H32" si="3">D31*F31</f>
        <v>0</v>
      </c>
    </row>
    <row r="32" spans="1:8" ht="12.75" customHeight="1">
      <c r="A32" s="45"/>
      <c r="B32" s="98" t="s">
        <v>55</v>
      </c>
      <c r="C32" s="74"/>
      <c r="D32" s="42">
        <v>200</v>
      </c>
      <c r="E32" s="42" t="s">
        <v>53</v>
      </c>
      <c r="F32" s="42"/>
      <c r="G32" s="42" t="s">
        <v>54</v>
      </c>
      <c r="H32" s="43">
        <f t="shared" si="3"/>
        <v>0</v>
      </c>
    </row>
    <row r="33" spans="1:8" ht="12.75" customHeight="1">
      <c r="A33" s="99"/>
      <c r="B33" s="91"/>
      <c r="C33" s="91"/>
      <c r="D33" s="91"/>
      <c r="E33" s="91"/>
      <c r="F33" s="91"/>
      <c r="G33" s="91"/>
      <c r="H33" s="92"/>
    </row>
    <row r="34" spans="1:8" ht="12.75" customHeight="1">
      <c r="A34" s="41" t="s">
        <v>56</v>
      </c>
      <c r="B34" s="98" t="s">
        <v>96</v>
      </c>
      <c r="C34" s="74"/>
      <c r="D34" s="42">
        <v>195</v>
      </c>
      <c r="E34" s="42" t="s">
        <v>45</v>
      </c>
      <c r="F34" s="42"/>
      <c r="G34" s="42" t="s">
        <v>46</v>
      </c>
      <c r="H34" s="43">
        <f t="shared" ref="H34:H37" si="4">D34*F34</f>
        <v>0</v>
      </c>
    </row>
    <row r="35" spans="1:8" ht="12.75" customHeight="1">
      <c r="A35" s="94"/>
      <c r="B35" s="98" t="s">
        <v>58</v>
      </c>
      <c r="C35" s="74"/>
      <c r="D35" s="42">
        <v>92</v>
      </c>
      <c r="E35" s="42" t="s">
        <v>45</v>
      </c>
      <c r="F35" s="42"/>
      <c r="G35" s="42" t="s">
        <v>46</v>
      </c>
      <c r="H35" s="43">
        <f t="shared" si="4"/>
        <v>0</v>
      </c>
    </row>
    <row r="36" spans="1:8" ht="12.75" customHeight="1">
      <c r="A36" s="96"/>
      <c r="B36" s="98" t="s">
        <v>59</v>
      </c>
      <c r="C36" s="74"/>
      <c r="D36" s="42">
        <v>100</v>
      </c>
      <c r="E36" s="42" t="s">
        <v>45</v>
      </c>
      <c r="F36" s="42"/>
      <c r="G36" s="42" t="s">
        <v>46</v>
      </c>
      <c r="H36" s="43">
        <f t="shared" si="4"/>
        <v>0</v>
      </c>
    </row>
    <row r="37" spans="1:8" ht="12.75" customHeight="1">
      <c r="A37" s="95"/>
      <c r="B37" s="98" t="s">
        <v>60</v>
      </c>
      <c r="C37" s="74"/>
      <c r="D37" s="42">
        <v>1200</v>
      </c>
      <c r="E37" s="42" t="s">
        <v>45</v>
      </c>
      <c r="F37" s="42"/>
      <c r="G37" s="42" t="s">
        <v>46</v>
      </c>
      <c r="H37" s="43">
        <f t="shared" si="4"/>
        <v>0</v>
      </c>
    </row>
    <row r="38" spans="1:8" ht="12.75" customHeight="1">
      <c r="A38" s="99"/>
      <c r="B38" s="91"/>
      <c r="C38" s="91"/>
      <c r="D38" s="91"/>
      <c r="E38" s="91"/>
      <c r="F38" s="91"/>
      <c r="G38" s="91"/>
      <c r="H38" s="92"/>
    </row>
    <row r="39" spans="1:8" ht="12.75" customHeight="1">
      <c r="A39" s="41" t="s">
        <v>40</v>
      </c>
      <c r="B39" s="93"/>
      <c r="C39" s="74"/>
      <c r="D39" s="42"/>
      <c r="E39" s="42" t="s">
        <v>45</v>
      </c>
      <c r="F39" s="42"/>
      <c r="G39" s="42" t="s">
        <v>46</v>
      </c>
      <c r="H39" s="43">
        <f t="shared" ref="H39:H41" si="5">D39*F39</f>
        <v>0</v>
      </c>
    </row>
    <row r="40" spans="1:8" ht="12.75" customHeight="1">
      <c r="A40" s="94"/>
      <c r="B40" s="93"/>
      <c r="C40" s="74"/>
      <c r="D40" s="42"/>
      <c r="E40" s="42" t="s">
        <v>45</v>
      </c>
      <c r="F40" s="42"/>
      <c r="G40" s="42" t="s">
        <v>46</v>
      </c>
      <c r="H40" s="43">
        <f t="shared" si="5"/>
        <v>0</v>
      </c>
    </row>
    <row r="41" spans="1:8" ht="12.75" customHeight="1">
      <c r="A41" s="95"/>
      <c r="B41" s="93"/>
      <c r="C41" s="74"/>
      <c r="D41" s="42"/>
      <c r="E41" s="42" t="s">
        <v>45</v>
      </c>
      <c r="F41" s="42"/>
      <c r="G41" s="42" t="s">
        <v>46</v>
      </c>
      <c r="H41" s="43">
        <f t="shared" si="5"/>
        <v>0</v>
      </c>
    </row>
    <row r="42" spans="1:8" ht="12.75" customHeight="1">
      <c r="A42" s="103"/>
      <c r="B42" s="104"/>
      <c r="C42" s="104"/>
      <c r="D42" s="104"/>
      <c r="E42" s="104"/>
      <c r="F42" s="104"/>
      <c r="G42" s="104"/>
      <c r="H42" s="104"/>
    </row>
    <row r="43" spans="1:8" ht="12.75" customHeight="1">
      <c r="A43" s="46" t="s">
        <v>61</v>
      </c>
      <c r="B43" s="98" t="s">
        <v>62</v>
      </c>
      <c r="C43" s="73"/>
      <c r="D43" s="73"/>
      <c r="E43" s="74"/>
      <c r="F43" s="42"/>
      <c r="G43" s="42" t="s">
        <v>63</v>
      </c>
      <c r="H43" s="47"/>
    </row>
    <row r="44" spans="1:8" ht="12.75" customHeight="1">
      <c r="A44" s="94"/>
      <c r="B44" s="98" t="s">
        <v>64</v>
      </c>
      <c r="C44" s="73"/>
      <c r="D44" s="73"/>
      <c r="E44" s="74"/>
      <c r="F44" s="42"/>
      <c r="G44" s="42" t="s">
        <v>63</v>
      </c>
      <c r="H44" s="47"/>
    </row>
    <row r="45" spans="1:8" ht="12.75" customHeight="1">
      <c r="A45" s="95"/>
      <c r="B45" s="98" t="s">
        <v>65</v>
      </c>
      <c r="C45" s="73"/>
      <c r="D45" s="73"/>
      <c r="E45" s="74"/>
      <c r="F45" s="42"/>
      <c r="G45" s="42" t="s">
        <v>63</v>
      </c>
      <c r="H45" s="47"/>
    </row>
    <row r="46" spans="1:8" ht="12.75" customHeight="1">
      <c r="A46" s="106"/>
      <c r="B46" s="91"/>
      <c r="C46" s="91"/>
      <c r="D46" s="91"/>
      <c r="E46" s="91"/>
      <c r="F46" s="91"/>
      <c r="G46" s="91"/>
      <c r="H46" s="91"/>
    </row>
    <row r="47" spans="1:8" ht="12.75" customHeight="1">
      <c r="A47" s="46" t="s">
        <v>66</v>
      </c>
      <c r="B47" s="48" t="s">
        <v>97</v>
      </c>
      <c r="C47" s="42" t="s">
        <v>98</v>
      </c>
      <c r="D47" s="42">
        <v>0.2</v>
      </c>
      <c r="E47" s="42" t="s">
        <v>63</v>
      </c>
      <c r="F47" s="97"/>
      <c r="G47" s="73"/>
      <c r="H47" s="74"/>
    </row>
    <row r="48" spans="1:8" ht="12.75" customHeight="1">
      <c r="A48" s="94"/>
      <c r="B48" s="48" t="s">
        <v>69</v>
      </c>
      <c r="C48" s="49" t="s">
        <v>70</v>
      </c>
      <c r="D48" s="42">
        <v>1.2</v>
      </c>
      <c r="E48" s="42" t="s">
        <v>63</v>
      </c>
      <c r="F48" s="105" t="s">
        <v>71</v>
      </c>
      <c r="G48" s="73"/>
      <c r="H48" s="74"/>
    </row>
    <row r="49" spans="1:8" ht="12.75" customHeight="1">
      <c r="A49" s="96"/>
      <c r="B49" s="48" t="s">
        <v>72</v>
      </c>
      <c r="C49" s="49" t="s">
        <v>73</v>
      </c>
      <c r="D49" s="42">
        <v>0.5</v>
      </c>
      <c r="E49" s="42" t="s">
        <v>63</v>
      </c>
      <c r="F49" s="105" t="s">
        <v>74</v>
      </c>
      <c r="G49" s="73"/>
      <c r="H49" s="74"/>
    </row>
    <row r="50" spans="1:8" ht="12.75" customHeight="1">
      <c r="A50" s="95"/>
      <c r="B50" s="48" t="s">
        <v>75</v>
      </c>
      <c r="C50" s="49" t="s">
        <v>76</v>
      </c>
      <c r="D50" s="42">
        <v>0.1</v>
      </c>
      <c r="E50" s="42" t="s">
        <v>63</v>
      </c>
      <c r="F50" s="97"/>
      <c r="G50" s="73"/>
      <c r="H50" s="74"/>
    </row>
    <row r="51" spans="1:8" ht="12.75" customHeight="1">
      <c r="A51" s="101"/>
      <c r="B51" s="102"/>
      <c r="C51" s="102"/>
      <c r="D51" s="102"/>
      <c r="E51" s="102"/>
      <c r="F51" s="102"/>
      <c r="G51" s="102"/>
      <c r="H51" s="102"/>
    </row>
    <row r="52" spans="1:8" ht="12.75" customHeight="1">
      <c r="A52" s="50" t="s">
        <v>77</v>
      </c>
      <c r="B52" s="93" t="s">
        <v>78</v>
      </c>
      <c r="C52" s="74"/>
      <c r="D52" s="97" t="s">
        <v>79</v>
      </c>
      <c r="E52" s="73"/>
      <c r="F52" s="73"/>
      <c r="G52" s="74"/>
      <c r="H52" s="51" t="s">
        <v>80</v>
      </c>
    </row>
    <row r="53" spans="1:8" ht="12.75" customHeight="1">
      <c r="A53" s="94"/>
      <c r="B53" s="93"/>
      <c r="C53" s="74"/>
      <c r="D53" s="97"/>
      <c r="E53" s="73"/>
      <c r="F53" s="73"/>
      <c r="G53" s="74"/>
      <c r="H53" s="52"/>
    </row>
    <row r="54" spans="1:8" ht="12.75" customHeight="1">
      <c r="A54" s="96"/>
      <c r="B54" s="93"/>
      <c r="C54" s="74"/>
      <c r="D54" s="97"/>
      <c r="E54" s="73"/>
      <c r="F54" s="73"/>
      <c r="G54" s="74"/>
      <c r="H54" s="52"/>
    </row>
    <row r="55" spans="1:8" ht="12.75" customHeight="1">
      <c r="A55" s="95"/>
      <c r="B55" s="93"/>
      <c r="C55" s="74"/>
      <c r="D55" s="97"/>
      <c r="E55" s="73"/>
      <c r="F55" s="73"/>
      <c r="G55" s="74"/>
      <c r="H55" s="52"/>
    </row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8">
    <mergeCell ref="A51:H51"/>
    <mergeCell ref="A46:H46"/>
    <mergeCell ref="F47:H47"/>
    <mergeCell ref="A48:A50"/>
    <mergeCell ref="F48:H48"/>
    <mergeCell ref="F49:H49"/>
    <mergeCell ref="F50:H50"/>
    <mergeCell ref="B1:C1"/>
    <mergeCell ref="D1:E1"/>
    <mergeCell ref="F1:G1"/>
    <mergeCell ref="B2:C2"/>
    <mergeCell ref="A3:A11"/>
    <mergeCell ref="B3:C3"/>
    <mergeCell ref="B4:C4"/>
    <mergeCell ref="B5:C5"/>
    <mergeCell ref="B6:C6"/>
    <mergeCell ref="B7:C7"/>
    <mergeCell ref="B8:C8"/>
    <mergeCell ref="B11:C11"/>
    <mergeCell ref="B55:C55"/>
    <mergeCell ref="D55:G55"/>
    <mergeCell ref="B52:C52"/>
    <mergeCell ref="D52:G52"/>
    <mergeCell ref="A53:A55"/>
    <mergeCell ref="B53:C53"/>
    <mergeCell ref="D53:G53"/>
    <mergeCell ref="B54:C54"/>
    <mergeCell ref="D54:G54"/>
    <mergeCell ref="B39:C39"/>
    <mergeCell ref="B44:E44"/>
    <mergeCell ref="B45:E45"/>
    <mergeCell ref="A35:A37"/>
    <mergeCell ref="A40:A41"/>
    <mergeCell ref="B40:C40"/>
    <mergeCell ref="B41:C41"/>
    <mergeCell ref="A42:H42"/>
    <mergeCell ref="B43:E43"/>
    <mergeCell ref="A44:A45"/>
    <mergeCell ref="B34:C34"/>
    <mergeCell ref="B35:C35"/>
    <mergeCell ref="B36:C36"/>
    <mergeCell ref="B37:C37"/>
    <mergeCell ref="A38:H38"/>
    <mergeCell ref="B29:H29"/>
    <mergeCell ref="A30:H30"/>
    <mergeCell ref="B31:C31"/>
    <mergeCell ref="A33:H33"/>
    <mergeCell ref="B32:C32"/>
    <mergeCell ref="A16:A25"/>
    <mergeCell ref="B16:C16"/>
    <mergeCell ref="B17:C17"/>
    <mergeCell ref="B22:C22"/>
    <mergeCell ref="B23:C23"/>
    <mergeCell ref="B18:C18"/>
    <mergeCell ref="B19:C19"/>
    <mergeCell ref="B20:C20"/>
    <mergeCell ref="B21:C21"/>
    <mergeCell ref="B24:C24"/>
    <mergeCell ref="B25:C25"/>
    <mergeCell ref="B27:C27"/>
    <mergeCell ref="B28:C28"/>
    <mergeCell ref="B9:C9"/>
    <mergeCell ref="B10:C10"/>
    <mergeCell ref="B13:C13"/>
    <mergeCell ref="B15:C15"/>
    <mergeCell ref="B26:H26"/>
    <mergeCell ref="A12:H12"/>
    <mergeCell ref="A14:H14"/>
  </mergeCells>
  <phoneticPr fontId="14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1796875" defaultRowHeight="15" customHeight="1"/>
  <cols>
    <col min="1" max="2" width="8.68359375" customWidth="1"/>
    <col min="3" max="3" width="13" customWidth="1"/>
    <col min="4" max="26" width="8.68359375" customWidth="1"/>
  </cols>
  <sheetData>
    <row r="1" spans="1:8" ht="12.75" customHeight="1">
      <c r="A1" s="57" t="s">
        <v>33</v>
      </c>
      <c r="B1" s="97"/>
      <c r="C1" s="74"/>
      <c r="D1" s="97" t="s">
        <v>25</v>
      </c>
      <c r="E1" s="74"/>
      <c r="F1" s="97" t="s">
        <v>34</v>
      </c>
      <c r="G1" s="74"/>
      <c r="H1" s="40" t="s">
        <v>33</v>
      </c>
    </row>
    <row r="2" spans="1:8" ht="12.75" customHeight="1">
      <c r="A2" s="44" t="s">
        <v>35</v>
      </c>
      <c r="B2" s="100" t="s">
        <v>36</v>
      </c>
      <c r="C2" s="74"/>
      <c r="D2" s="42">
        <v>23.5</v>
      </c>
      <c r="E2" s="42" t="s">
        <v>37</v>
      </c>
      <c r="F2" s="42"/>
      <c r="G2" s="42" t="s">
        <v>38</v>
      </c>
      <c r="H2" s="43">
        <f t="shared" ref="H2:H4" si="0">D2*F2</f>
        <v>0</v>
      </c>
    </row>
    <row r="3" spans="1:8" ht="12.75" customHeight="1">
      <c r="A3" s="44"/>
      <c r="B3" s="100" t="s">
        <v>39</v>
      </c>
      <c r="C3" s="74"/>
      <c r="D3" s="42">
        <v>48</v>
      </c>
      <c r="E3" s="42" t="s">
        <v>37</v>
      </c>
      <c r="F3" s="42"/>
      <c r="G3" s="42" t="s">
        <v>38</v>
      </c>
      <c r="H3" s="43">
        <f t="shared" si="0"/>
        <v>0</v>
      </c>
    </row>
    <row r="4" spans="1:8" ht="12.75" customHeight="1">
      <c r="A4" s="44"/>
      <c r="B4" s="100" t="s">
        <v>40</v>
      </c>
      <c r="C4" s="74"/>
      <c r="D4" s="42"/>
      <c r="E4" s="42" t="s">
        <v>37</v>
      </c>
      <c r="F4" s="42"/>
      <c r="G4" s="42" t="s">
        <v>38</v>
      </c>
      <c r="H4" s="43">
        <f t="shared" si="0"/>
        <v>0</v>
      </c>
    </row>
    <row r="5" spans="1:8" ht="12.75" customHeight="1">
      <c r="A5" s="97"/>
      <c r="B5" s="73"/>
      <c r="C5" s="73"/>
      <c r="D5" s="73"/>
      <c r="E5" s="73"/>
      <c r="F5" s="73"/>
      <c r="G5" s="73"/>
      <c r="H5" s="74"/>
    </row>
    <row r="6" spans="1:8" ht="12.75" customHeight="1">
      <c r="A6" s="44" t="s">
        <v>99</v>
      </c>
      <c r="B6" s="100" t="s">
        <v>100</v>
      </c>
      <c r="C6" s="74"/>
      <c r="D6" s="42">
        <v>2.82</v>
      </c>
      <c r="E6" s="42" t="s">
        <v>101</v>
      </c>
      <c r="F6" s="42"/>
      <c r="G6" s="42" t="s">
        <v>102</v>
      </c>
      <c r="H6" s="43">
        <f t="shared" ref="H6:H8" si="1">D6*F6</f>
        <v>0</v>
      </c>
    </row>
    <row r="7" spans="1:8" ht="12.75" customHeight="1">
      <c r="A7" s="42"/>
      <c r="B7" s="100" t="s">
        <v>103</v>
      </c>
      <c r="C7" s="74"/>
      <c r="D7" s="42">
        <v>0.73</v>
      </c>
      <c r="E7" s="42" t="s">
        <v>101</v>
      </c>
      <c r="F7" s="42"/>
      <c r="G7" s="42" t="s">
        <v>102</v>
      </c>
      <c r="H7" s="43">
        <f t="shared" si="1"/>
        <v>0</v>
      </c>
    </row>
    <row r="8" spans="1:8" ht="12.75" customHeight="1">
      <c r="A8" s="42"/>
      <c r="B8" s="100" t="s">
        <v>40</v>
      </c>
      <c r="C8" s="74"/>
      <c r="D8" s="42"/>
      <c r="E8" s="42" t="s">
        <v>101</v>
      </c>
      <c r="F8" s="42"/>
      <c r="G8" s="42" t="s">
        <v>102</v>
      </c>
      <c r="H8" s="43">
        <f t="shared" si="1"/>
        <v>0</v>
      </c>
    </row>
    <row r="9" spans="1:8" ht="12.75" customHeight="1">
      <c r="A9" s="97"/>
      <c r="B9" s="73"/>
      <c r="C9" s="73"/>
      <c r="D9" s="73"/>
      <c r="E9" s="73"/>
      <c r="F9" s="73"/>
      <c r="G9" s="73"/>
      <c r="H9" s="74"/>
    </row>
    <row r="10" spans="1:8" ht="12.75" customHeight="1">
      <c r="A10" s="44" t="s">
        <v>56</v>
      </c>
      <c r="B10" s="100" t="s">
        <v>104</v>
      </c>
      <c r="C10" s="74"/>
      <c r="D10" s="42"/>
      <c r="E10" s="42" t="s">
        <v>45</v>
      </c>
      <c r="F10" s="42"/>
      <c r="G10" s="42" t="s">
        <v>46</v>
      </c>
      <c r="H10" s="43">
        <f t="shared" ref="H10:H13" si="2">D10*F10</f>
        <v>0</v>
      </c>
    </row>
    <row r="11" spans="1:8" ht="12.75" customHeight="1">
      <c r="A11" s="42"/>
      <c r="B11" s="100" t="s">
        <v>58</v>
      </c>
      <c r="C11" s="74"/>
      <c r="D11" s="42">
        <v>92</v>
      </c>
      <c r="E11" s="42" t="s">
        <v>45</v>
      </c>
      <c r="F11" s="42"/>
      <c r="G11" s="42" t="s">
        <v>46</v>
      </c>
      <c r="H11" s="43">
        <f t="shared" si="2"/>
        <v>0</v>
      </c>
    </row>
    <row r="12" spans="1:8" ht="12.75" customHeight="1">
      <c r="A12" s="42"/>
      <c r="B12" s="100" t="s">
        <v>59</v>
      </c>
      <c r="C12" s="74"/>
      <c r="D12" s="42">
        <v>100</v>
      </c>
      <c r="E12" s="42" t="s">
        <v>45</v>
      </c>
      <c r="F12" s="42"/>
      <c r="G12" s="42" t="s">
        <v>46</v>
      </c>
      <c r="H12" s="43">
        <f t="shared" si="2"/>
        <v>0</v>
      </c>
    </row>
    <row r="13" spans="1:8" ht="12.75" customHeight="1">
      <c r="A13" s="42"/>
      <c r="B13" s="100" t="s">
        <v>60</v>
      </c>
      <c r="C13" s="74"/>
      <c r="D13" s="42">
        <v>1200</v>
      </c>
      <c r="E13" s="42" t="s">
        <v>45</v>
      </c>
      <c r="F13" s="42"/>
      <c r="G13" s="42" t="s">
        <v>46</v>
      </c>
      <c r="H13" s="43">
        <f t="shared" si="2"/>
        <v>0</v>
      </c>
    </row>
    <row r="14" spans="1:8" ht="12.75" customHeight="1">
      <c r="A14" s="107"/>
      <c r="B14" s="76"/>
      <c r="C14" s="76"/>
      <c r="D14" s="76"/>
      <c r="E14" s="76"/>
      <c r="F14" s="76"/>
      <c r="G14" s="76"/>
      <c r="H14" s="77"/>
    </row>
    <row r="15" spans="1:8" ht="12.75" customHeight="1">
      <c r="A15" s="44" t="s">
        <v>40</v>
      </c>
      <c r="B15" s="97"/>
      <c r="C15" s="74"/>
      <c r="D15" s="42"/>
      <c r="E15" s="42" t="s">
        <v>45</v>
      </c>
      <c r="F15" s="42"/>
      <c r="G15" s="42" t="s">
        <v>46</v>
      </c>
      <c r="H15" s="43">
        <f t="shared" ref="H15:H17" si="3">D15*F15</f>
        <v>0</v>
      </c>
    </row>
    <row r="16" spans="1:8" ht="12.75" customHeight="1">
      <c r="A16" s="44"/>
      <c r="B16" s="97"/>
      <c r="C16" s="74"/>
      <c r="D16" s="42"/>
      <c r="E16" s="42" t="s">
        <v>45</v>
      </c>
      <c r="F16" s="42"/>
      <c r="G16" s="42" t="s">
        <v>46</v>
      </c>
      <c r="H16" s="43">
        <f t="shared" si="3"/>
        <v>0</v>
      </c>
    </row>
    <row r="17" spans="1:8" ht="12.75" customHeight="1">
      <c r="A17" s="44"/>
      <c r="B17" s="97"/>
      <c r="C17" s="74"/>
      <c r="D17" s="42"/>
      <c r="E17" s="42" t="s">
        <v>45</v>
      </c>
      <c r="F17" s="42"/>
      <c r="G17" s="42" t="s">
        <v>46</v>
      </c>
      <c r="H17" s="43">
        <f t="shared" si="3"/>
        <v>0</v>
      </c>
    </row>
    <row r="18" spans="1:8" ht="12.75" customHeight="1">
      <c r="A18" s="103"/>
      <c r="B18" s="104"/>
      <c r="C18" s="104"/>
      <c r="D18" s="104"/>
      <c r="E18" s="104"/>
      <c r="F18" s="104"/>
      <c r="G18" s="104"/>
      <c r="H18" s="104"/>
    </row>
    <row r="19" spans="1:8" ht="12.75" customHeight="1">
      <c r="A19" s="58" t="s">
        <v>61</v>
      </c>
      <c r="B19" s="109" t="s">
        <v>62</v>
      </c>
      <c r="C19" s="91"/>
      <c r="D19" s="91"/>
      <c r="E19" s="92"/>
      <c r="F19" s="45"/>
      <c r="G19" s="45" t="s">
        <v>63</v>
      </c>
    </row>
    <row r="20" spans="1:8" ht="12.75" customHeight="1">
      <c r="A20" s="108"/>
      <c r="B20" s="100" t="s">
        <v>64</v>
      </c>
      <c r="C20" s="73"/>
      <c r="D20" s="73"/>
      <c r="E20" s="74"/>
      <c r="F20" s="42"/>
      <c r="G20" s="42" t="s">
        <v>63</v>
      </c>
    </row>
    <row r="21" spans="1:8" ht="12.75" customHeight="1">
      <c r="A21" s="95"/>
      <c r="B21" s="100" t="s">
        <v>65</v>
      </c>
      <c r="C21" s="73"/>
      <c r="D21" s="73"/>
      <c r="E21" s="74"/>
      <c r="F21" s="42"/>
      <c r="G21" s="42" t="s">
        <v>63</v>
      </c>
    </row>
    <row r="22" spans="1:8" ht="12.75" customHeight="1"/>
    <row r="23" spans="1:8" ht="12.75" customHeight="1">
      <c r="A23" s="57" t="s">
        <v>66</v>
      </c>
      <c r="B23" s="105" t="s">
        <v>105</v>
      </c>
      <c r="C23" s="73"/>
      <c r="D23" s="73"/>
      <c r="E23" s="74"/>
    </row>
    <row r="24" spans="1:8" ht="12.75" customHeight="1">
      <c r="A24" s="108"/>
      <c r="B24" s="110" t="s">
        <v>106</v>
      </c>
      <c r="C24" s="42" t="s">
        <v>107</v>
      </c>
      <c r="D24" s="42">
        <v>430</v>
      </c>
      <c r="E24" s="42" t="s">
        <v>102</v>
      </c>
    </row>
    <row r="25" spans="1:8" ht="12.75" customHeight="1">
      <c r="A25" s="96"/>
      <c r="B25" s="95"/>
      <c r="C25" s="42" t="s">
        <v>108</v>
      </c>
      <c r="D25" s="42">
        <v>410</v>
      </c>
      <c r="E25" s="42" t="s">
        <v>102</v>
      </c>
    </row>
    <row r="26" spans="1:8" ht="12.75" customHeight="1">
      <c r="A26" s="96"/>
      <c r="B26" s="108" t="s">
        <v>109</v>
      </c>
      <c r="C26" s="42" t="s">
        <v>110</v>
      </c>
      <c r="D26" s="42">
        <v>60</v>
      </c>
      <c r="E26" s="42" t="s">
        <v>111</v>
      </c>
    </row>
    <row r="27" spans="1:8" ht="12.75" customHeight="1">
      <c r="A27" s="96"/>
      <c r="B27" s="96"/>
      <c r="C27" s="42" t="s">
        <v>112</v>
      </c>
      <c r="D27" s="42">
        <v>120</v>
      </c>
      <c r="E27" s="42" t="s">
        <v>111</v>
      </c>
    </row>
    <row r="28" spans="1:8" ht="12.75" customHeight="1">
      <c r="A28" s="96"/>
      <c r="B28" s="96"/>
      <c r="C28" s="42" t="s">
        <v>113</v>
      </c>
      <c r="D28" s="42">
        <v>15</v>
      </c>
      <c r="E28" s="42" t="s">
        <v>111</v>
      </c>
    </row>
    <row r="29" spans="1:8" ht="12.75" customHeight="1">
      <c r="A29" s="96"/>
      <c r="B29" s="96"/>
      <c r="C29" s="42" t="s">
        <v>114</v>
      </c>
      <c r="D29" s="42">
        <v>15</v>
      </c>
      <c r="E29" s="42" t="s">
        <v>111</v>
      </c>
    </row>
    <row r="30" spans="1:8" ht="12.75" customHeight="1">
      <c r="A30" s="96"/>
      <c r="B30" s="96"/>
      <c r="C30" s="42" t="s">
        <v>115</v>
      </c>
      <c r="D30" s="42">
        <v>30</v>
      </c>
      <c r="E30" s="42" t="s">
        <v>111</v>
      </c>
    </row>
    <row r="31" spans="1:8" ht="12.75" customHeight="1">
      <c r="A31" s="95"/>
      <c r="B31" s="95"/>
      <c r="C31" s="42" t="s">
        <v>116</v>
      </c>
      <c r="D31" s="42">
        <v>30</v>
      </c>
      <c r="E31" s="42" t="s">
        <v>111</v>
      </c>
    </row>
    <row r="32" spans="1:8" ht="12.75" customHeight="1">
      <c r="A32" s="101"/>
      <c r="B32" s="102"/>
      <c r="C32" s="102"/>
      <c r="D32" s="102"/>
      <c r="E32" s="102"/>
      <c r="F32" s="102"/>
      <c r="G32" s="102"/>
      <c r="H32" s="102"/>
    </row>
    <row r="33" spans="1:8" ht="12.75" customHeight="1">
      <c r="A33" s="57" t="s">
        <v>77</v>
      </c>
      <c r="B33" s="97" t="s">
        <v>78</v>
      </c>
      <c r="C33" s="74"/>
      <c r="D33" s="97" t="s">
        <v>79</v>
      </c>
      <c r="E33" s="73"/>
      <c r="F33" s="73"/>
      <c r="G33" s="74"/>
      <c r="H33" s="51" t="s">
        <v>80</v>
      </c>
    </row>
    <row r="34" spans="1:8" ht="12.75" customHeight="1">
      <c r="A34" s="108"/>
      <c r="B34" s="97"/>
      <c r="C34" s="74"/>
      <c r="D34" s="97"/>
      <c r="E34" s="73"/>
      <c r="F34" s="73"/>
      <c r="G34" s="74"/>
      <c r="H34" s="52"/>
    </row>
    <row r="35" spans="1:8" ht="12.75" customHeight="1">
      <c r="A35" s="96"/>
      <c r="B35" s="97"/>
      <c r="C35" s="74"/>
      <c r="D35" s="97"/>
      <c r="E35" s="73"/>
      <c r="F35" s="73"/>
      <c r="G35" s="74"/>
      <c r="H35" s="52"/>
    </row>
    <row r="36" spans="1:8" ht="12.75" customHeight="1">
      <c r="A36" s="95"/>
      <c r="B36" s="97"/>
      <c r="C36" s="74"/>
      <c r="D36" s="97"/>
      <c r="E36" s="73"/>
      <c r="F36" s="73"/>
      <c r="G36" s="74"/>
      <c r="H36" s="52"/>
    </row>
    <row r="37" spans="1:8" ht="12.75" customHeight="1"/>
    <row r="38" spans="1:8" ht="12.75" customHeight="1"/>
    <row r="39" spans="1:8" ht="12.75" customHeight="1"/>
    <row r="40" spans="1:8" ht="12.75" customHeight="1"/>
    <row r="41" spans="1:8" ht="12.75" customHeight="1"/>
    <row r="42" spans="1:8" ht="12.75" customHeight="1"/>
    <row r="43" spans="1:8" ht="12.75" customHeight="1"/>
    <row r="44" spans="1:8" ht="12.75" customHeight="1"/>
    <row r="45" spans="1:8" ht="12.75" customHeight="1"/>
    <row r="46" spans="1:8" ht="12.75" customHeight="1"/>
    <row r="47" spans="1:8" ht="12.75" customHeight="1"/>
    <row r="48" spans="1: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8">
    <mergeCell ref="A24:A31"/>
    <mergeCell ref="B24:B25"/>
    <mergeCell ref="B26:B31"/>
    <mergeCell ref="A32:H32"/>
    <mergeCell ref="B36:C36"/>
    <mergeCell ref="D36:G36"/>
    <mergeCell ref="B33:C33"/>
    <mergeCell ref="D33:G33"/>
    <mergeCell ref="A34:A36"/>
    <mergeCell ref="B34:C34"/>
    <mergeCell ref="D34:G34"/>
    <mergeCell ref="B35:C35"/>
    <mergeCell ref="D35:G35"/>
    <mergeCell ref="A20:A21"/>
    <mergeCell ref="B21:E21"/>
    <mergeCell ref="B19:E19"/>
    <mergeCell ref="B20:E20"/>
    <mergeCell ref="B23:E23"/>
    <mergeCell ref="A14:H14"/>
    <mergeCell ref="B15:C15"/>
    <mergeCell ref="B16:C16"/>
    <mergeCell ref="B17:C17"/>
    <mergeCell ref="A18:H18"/>
    <mergeCell ref="A9:H9"/>
    <mergeCell ref="B10:C10"/>
    <mergeCell ref="B11:C11"/>
    <mergeCell ref="B12:C12"/>
    <mergeCell ref="B13:C13"/>
    <mergeCell ref="B4:C4"/>
    <mergeCell ref="A5:H5"/>
    <mergeCell ref="B6:C6"/>
    <mergeCell ref="B7:C7"/>
    <mergeCell ref="B8:C8"/>
    <mergeCell ref="B1:C1"/>
    <mergeCell ref="D1:E1"/>
    <mergeCell ref="F1:G1"/>
    <mergeCell ref="B2:C2"/>
    <mergeCell ref="B3:C3"/>
  </mergeCells>
  <phoneticPr fontId="14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1796875" defaultRowHeight="15" customHeight="1"/>
  <cols>
    <col min="1" max="26" width="8.68359375" customWidth="1"/>
  </cols>
  <sheetData>
    <row r="1" spans="1:8" ht="12.75" customHeight="1">
      <c r="A1" s="59" t="s">
        <v>33</v>
      </c>
      <c r="B1" s="97"/>
      <c r="C1" s="74"/>
      <c r="D1" s="97" t="s">
        <v>25</v>
      </c>
      <c r="E1" s="74"/>
      <c r="F1" s="97" t="s">
        <v>34</v>
      </c>
      <c r="G1" s="74"/>
      <c r="H1" s="40" t="s">
        <v>33</v>
      </c>
    </row>
    <row r="2" spans="1:8" ht="12.75" customHeight="1">
      <c r="A2" s="41" t="s">
        <v>35</v>
      </c>
      <c r="B2" s="98" t="s">
        <v>36</v>
      </c>
      <c r="C2" s="74"/>
      <c r="D2" s="42">
        <v>23.5</v>
      </c>
      <c r="E2" s="42" t="s">
        <v>37</v>
      </c>
      <c r="F2" s="42"/>
      <c r="G2" s="42" t="s">
        <v>38</v>
      </c>
      <c r="H2" s="43">
        <f t="shared" ref="H2:H4" si="0">D2*F2</f>
        <v>0</v>
      </c>
    </row>
    <row r="3" spans="1:8" ht="12.75" customHeight="1">
      <c r="A3" s="94"/>
      <c r="B3" s="98" t="s">
        <v>39</v>
      </c>
      <c r="C3" s="74"/>
      <c r="D3" s="42">
        <v>48</v>
      </c>
      <c r="E3" s="42" t="s">
        <v>37</v>
      </c>
      <c r="F3" s="42"/>
      <c r="G3" s="42" t="s">
        <v>38</v>
      </c>
      <c r="H3" s="43">
        <f t="shared" si="0"/>
        <v>0</v>
      </c>
    </row>
    <row r="4" spans="1:8" ht="12.75" customHeight="1">
      <c r="A4" s="95"/>
      <c r="B4" s="98" t="s">
        <v>40</v>
      </c>
      <c r="C4" s="74"/>
      <c r="D4" s="42"/>
      <c r="E4" s="42" t="s">
        <v>37</v>
      </c>
      <c r="F4" s="42"/>
      <c r="G4" s="42" t="s">
        <v>38</v>
      </c>
      <c r="H4" s="43">
        <f t="shared" si="0"/>
        <v>0</v>
      </c>
    </row>
    <row r="5" spans="1:8" ht="12.75" customHeight="1">
      <c r="A5" s="99"/>
      <c r="B5" s="91"/>
      <c r="C5" s="91"/>
      <c r="D5" s="91"/>
      <c r="E5" s="91"/>
      <c r="F5" s="91"/>
      <c r="G5" s="91"/>
      <c r="H5" s="92"/>
    </row>
    <row r="6" spans="1:8" ht="12.75" customHeight="1">
      <c r="A6" s="44" t="s">
        <v>41</v>
      </c>
      <c r="B6" s="100" t="s">
        <v>42</v>
      </c>
      <c r="C6" s="74"/>
      <c r="D6" s="42">
        <v>60</v>
      </c>
      <c r="E6" s="42" t="s">
        <v>37</v>
      </c>
      <c r="F6" s="42"/>
      <c r="G6" s="42" t="s">
        <v>38</v>
      </c>
      <c r="H6" s="43">
        <f>D6*F6</f>
        <v>0</v>
      </c>
    </row>
    <row r="7" spans="1:8" ht="12.75" customHeight="1">
      <c r="A7" s="97"/>
      <c r="B7" s="73"/>
      <c r="C7" s="73"/>
      <c r="D7" s="73"/>
      <c r="E7" s="73"/>
      <c r="F7" s="73"/>
      <c r="G7" s="73"/>
      <c r="H7" s="74"/>
    </row>
    <row r="8" spans="1:8" ht="12.75" customHeight="1">
      <c r="A8" s="41" t="s">
        <v>43</v>
      </c>
      <c r="B8" s="98" t="s">
        <v>44</v>
      </c>
      <c r="C8" s="74"/>
      <c r="D8" s="42">
        <v>300</v>
      </c>
      <c r="E8" s="42" t="s">
        <v>45</v>
      </c>
      <c r="F8" s="42"/>
      <c r="G8" s="42" t="s">
        <v>46</v>
      </c>
      <c r="H8" s="43">
        <f t="shared" ref="H8:H18" si="1">D8*F8</f>
        <v>0</v>
      </c>
    </row>
    <row r="9" spans="1:8" ht="12.75" customHeight="1">
      <c r="A9" s="94"/>
      <c r="B9" s="98" t="s">
        <v>47</v>
      </c>
      <c r="C9" s="74"/>
      <c r="D9" s="42">
        <v>120</v>
      </c>
      <c r="E9" s="42" t="s">
        <v>45</v>
      </c>
      <c r="F9" s="42"/>
      <c r="G9" s="42" t="s">
        <v>46</v>
      </c>
      <c r="H9" s="43">
        <f t="shared" si="1"/>
        <v>0</v>
      </c>
    </row>
    <row r="10" spans="1:8" ht="12.75" customHeight="1">
      <c r="A10" s="96"/>
      <c r="B10" s="98" t="s">
        <v>48</v>
      </c>
      <c r="C10" s="74"/>
      <c r="D10" s="42">
        <v>350</v>
      </c>
      <c r="E10" s="42" t="s">
        <v>45</v>
      </c>
      <c r="F10" s="42"/>
      <c r="G10" s="42" t="s">
        <v>46</v>
      </c>
      <c r="H10" s="43">
        <f t="shared" si="1"/>
        <v>0</v>
      </c>
    </row>
    <row r="11" spans="1:8" ht="12.75" customHeight="1">
      <c r="A11" s="96"/>
      <c r="B11" s="98" t="s">
        <v>49</v>
      </c>
      <c r="C11" s="74"/>
      <c r="D11" s="42">
        <v>150</v>
      </c>
      <c r="E11" s="42" t="s">
        <v>45</v>
      </c>
      <c r="F11" s="42"/>
      <c r="G11" s="42" t="s">
        <v>46</v>
      </c>
      <c r="H11" s="43">
        <f t="shared" si="1"/>
        <v>0</v>
      </c>
    </row>
    <row r="12" spans="1:8" ht="12.75" customHeight="1">
      <c r="A12" s="96"/>
      <c r="B12" s="98" t="s">
        <v>50</v>
      </c>
      <c r="C12" s="74"/>
      <c r="D12" s="42">
        <v>340</v>
      </c>
      <c r="E12" s="42" t="s">
        <v>45</v>
      </c>
      <c r="F12" s="42"/>
      <c r="G12" s="42" t="s">
        <v>46</v>
      </c>
      <c r="H12" s="43">
        <f t="shared" si="1"/>
        <v>0</v>
      </c>
    </row>
    <row r="13" spans="1:8" ht="12.75" customHeight="1">
      <c r="A13" s="96"/>
      <c r="B13" s="98" t="s">
        <v>88</v>
      </c>
      <c r="C13" s="74"/>
      <c r="D13" s="42">
        <v>660</v>
      </c>
      <c r="E13" s="42" t="s">
        <v>45</v>
      </c>
      <c r="F13" s="42"/>
      <c r="G13" s="42" t="s">
        <v>46</v>
      </c>
      <c r="H13" s="43">
        <f t="shared" si="1"/>
        <v>0</v>
      </c>
    </row>
    <row r="14" spans="1:8" ht="12.75" customHeight="1">
      <c r="A14" s="96"/>
      <c r="B14" s="98" t="s">
        <v>89</v>
      </c>
      <c r="C14" s="74"/>
      <c r="D14" s="42">
        <v>175</v>
      </c>
      <c r="E14" s="42" t="s">
        <v>45</v>
      </c>
      <c r="F14" s="42"/>
      <c r="G14" s="42" t="s">
        <v>46</v>
      </c>
      <c r="H14" s="43">
        <f t="shared" si="1"/>
        <v>0</v>
      </c>
    </row>
    <row r="15" spans="1:8" ht="12.75" customHeight="1">
      <c r="A15" s="96"/>
      <c r="B15" s="98" t="s">
        <v>90</v>
      </c>
      <c r="C15" s="74"/>
      <c r="D15" s="42">
        <v>320</v>
      </c>
      <c r="E15" s="42" t="s">
        <v>45</v>
      </c>
      <c r="F15" s="42"/>
      <c r="G15" s="42" t="s">
        <v>46</v>
      </c>
      <c r="H15" s="43">
        <f t="shared" si="1"/>
        <v>0</v>
      </c>
    </row>
    <row r="16" spans="1:8" ht="12.75" customHeight="1">
      <c r="A16" s="96"/>
      <c r="B16" s="98" t="s">
        <v>91</v>
      </c>
      <c r="C16" s="74"/>
      <c r="D16" s="42">
        <v>200</v>
      </c>
      <c r="E16" s="42" t="s">
        <v>45</v>
      </c>
      <c r="F16" s="42"/>
      <c r="G16" s="42" t="s">
        <v>46</v>
      </c>
      <c r="H16" s="43">
        <f t="shared" si="1"/>
        <v>0</v>
      </c>
    </row>
    <row r="17" spans="1:8" ht="12.75" customHeight="1">
      <c r="A17" s="96"/>
      <c r="B17" s="98" t="s">
        <v>92</v>
      </c>
      <c r="C17" s="74"/>
      <c r="D17" s="42">
        <v>340</v>
      </c>
      <c r="E17" s="42" t="s">
        <v>45</v>
      </c>
      <c r="F17" s="42"/>
      <c r="G17" s="42" t="s">
        <v>46</v>
      </c>
      <c r="H17" s="43">
        <f t="shared" si="1"/>
        <v>0</v>
      </c>
    </row>
    <row r="18" spans="1:8" ht="12.75" customHeight="1">
      <c r="A18" s="95"/>
      <c r="B18" s="98" t="s">
        <v>40</v>
      </c>
      <c r="C18" s="74"/>
      <c r="D18" s="42"/>
      <c r="E18" s="42" t="s">
        <v>45</v>
      </c>
      <c r="F18" s="42"/>
      <c r="G18" s="42" t="s">
        <v>46</v>
      </c>
      <c r="H18" s="43">
        <f t="shared" si="1"/>
        <v>0</v>
      </c>
    </row>
    <row r="19" spans="1:8" ht="12.75" customHeight="1">
      <c r="A19" s="99"/>
      <c r="B19" s="91"/>
      <c r="C19" s="91"/>
      <c r="D19" s="91"/>
      <c r="E19" s="91"/>
      <c r="F19" s="91"/>
      <c r="G19" s="91"/>
      <c r="H19" s="92"/>
    </row>
    <row r="20" spans="1:8" ht="12.75" customHeight="1">
      <c r="A20" s="41" t="s">
        <v>56</v>
      </c>
      <c r="B20" s="98" t="s">
        <v>104</v>
      </c>
      <c r="C20" s="74"/>
      <c r="D20" s="42"/>
      <c r="E20" s="42" t="s">
        <v>45</v>
      </c>
      <c r="F20" s="42"/>
      <c r="G20" s="42" t="s">
        <v>46</v>
      </c>
      <c r="H20" s="43">
        <f t="shared" ref="H20:H23" si="2">D20*F20</f>
        <v>0</v>
      </c>
    </row>
    <row r="21" spans="1:8" ht="12.75" customHeight="1">
      <c r="A21" s="94"/>
      <c r="B21" s="98" t="s">
        <v>58</v>
      </c>
      <c r="C21" s="74"/>
      <c r="D21" s="42">
        <v>92</v>
      </c>
      <c r="E21" s="42" t="s">
        <v>45</v>
      </c>
      <c r="F21" s="42"/>
      <c r="G21" s="42" t="s">
        <v>46</v>
      </c>
      <c r="H21" s="43">
        <f t="shared" si="2"/>
        <v>0</v>
      </c>
    </row>
    <row r="22" spans="1:8" ht="12.75" customHeight="1">
      <c r="A22" s="96"/>
      <c r="B22" s="98" t="s">
        <v>59</v>
      </c>
      <c r="C22" s="74"/>
      <c r="D22" s="42">
        <v>100</v>
      </c>
      <c r="E22" s="42" t="s">
        <v>45</v>
      </c>
      <c r="F22" s="42"/>
      <c r="G22" s="42" t="s">
        <v>46</v>
      </c>
      <c r="H22" s="43">
        <f t="shared" si="2"/>
        <v>0</v>
      </c>
    </row>
    <row r="23" spans="1:8" ht="12.75" customHeight="1">
      <c r="A23" s="95"/>
      <c r="B23" s="98" t="s">
        <v>60</v>
      </c>
      <c r="C23" s="74"/>
      <c r="D23" s="42">
        <v>1200</v>
      </c>
      <c r="E23" s="42" t="s">
        <v>45</v>
      </c>
      <c r="F23" s="42"/>
      <c r="G23" s="42" t="s">
        <v>46</v>
      </c>
      <c r="H23" s="43">
        <f t="shared" si="2"/>
        <v>0</v>
      </c>
    </row>
    <row r="24" spans="1:8" ht="12.75" customHeight="1">
      <c r="A24" s="99"/>
      <c r="B24" s="91"/>
      <c r="C24" s="91"/>
      <c r="D24" s="91"/>
      <c r="E24" s="91"/>
      <c r="F24" s="91"/>
      <c r="G24" s="91"/>
      <c r="H24" s="92"/>
    </row>
    <row r="25" spans="1:8" ht="12.75" customHeight="1">
      <c r="A25" s="41" t="s">
        <v>40</v>
      </c>
      <c r="B25" s="93"/>
      <c r="C25" s="74"/>
      <c r="D25" s="42"/>
      <c r="E25" s="42" t="s">
        <v>45</v>
      </c>
      <c r="F25" s="42"/>
      <c r="G25" s="42" t="s">
        <v>46</v>
      </c>
      <c r="H25" s="43">
        <f t="shared" ref="H25:H27" si="3">D25*F25</f>
        <v>0</v>
      </c>
    </row>
    <row r="26" spans="1:8" ht="12.75" customHeight="1">
      <c r="A26" s="94"/>
      <c r="B26" s="93"/>
      <c r="C26" s="74"/>
      <c r="D26" s="42"/>
      <c r="E26" s="42" t="s">
        <v>45</v>
      </c>
      <c r="F26" s="42"/>
      <c r="G26" s="42" t="s">
        <v>46</v>
      </c>
      <c r="H26" s="43">
        <f t="shared" si="3"/>
        <v>0</v>
      </c>
    </row>
    <row r="27" spans="1:8" ht="12.75" customHeight="1">
      <c r="A27" s="95"/>
      <c r="B27" s="93"/>
      <c r="C27" s="74"/>
      <c r="D27" s="42"/>
      <c r="E27" s="42" t="s">
        <v>45</v>
      </c>
      <c r="F27" s="42"/>
      <c r="G27" s="42" t="s">
        <v>46</v>
      </c>
      <c r="H27" s="43">
        <f t="shared" si="3"/>
        <v>0</v>
      </c>
    </row>
    <row r="28" spans="1:8" ht="12.75" customHeight="1">
      <c r="A28" s="103"/>
      <c r="B28" s="104"/>
      <c r="C28" s="104"/>
      <c r="D28" s="104"/>
      <c r="E28" s="104"/>
      <c r="F28" s="104"/>
      <c r="G28" s="104"/>
      <c r="H28" s="104"/>
    </row>
    <row r="29" spans="1:8" ht="12.75" customHeight="1">
      <c r="A29" s="46" t="s">
        <v>61</v>
      </c>
      <c r="B29" s="98" t="s">
        <v>62</v>
      </c>
      <c r="C29" s="73"/>
      <c r="D29" s="73"/>
      <c r="E29" s="74"/>
      <c r="F29" s="42"/>
      <c r="G29" s="42" t="s">
        <v>63</v>
      </c>
      <c r="H29" s="47"/>
    </row>
    <row r="30" spans="1:8" ht="12.75" customHeight="1">
      <c r="A30" s="94"/>
      <c r="B30" s="98" t="s">
        <v>64</v>
      </c>
      <c r="C30" s="73"/>
      <c r="D30" s="73"/>
      <c r="E30" s="74"/>
      <c r="F30" s="42"/>
      <c r="G30" s="42" t="s">
        <v>63</v>
      </c>
      <c r="H30" s="47"/>
    </row>
    <row r="31" spans="1:8" ht="12.75" customHeight="1">
      <c r="A31" s="95"/>
      <c r="B31" s="98" t="s">
        <v>65</v>
      </c>
      <c r="C31" s="73"/>
      <c r="D31" s="73"/>
      <c r="E31" s="74"/>
      <c r="F31" s="42"/>
      <c r="G31" s="42" t="s">
        <v>63</v>
      </c>
    </row>
    <row r="32" spans="1:8" ht="12.75" customHeight="1">
      <c r="A32" s="103"/>
      <c r="B32" s="104"/>
      <c r="C32" s="104"/>
      <c r="D32" s="104"/>
      <c r="E32" s="104"/>
      <c r="F32" s="104"/>
      <c r="G32" s="104"/>
      <c r="H32" s="104"/>
    </row>
    <row r="33" spans="1:8" ht="12.75" customHeight="1">
      <c r="A33" s="46" t="s">
        <v>77</v>
      </c>
      <c r="B33" s="93" t="s">
        <v>78</v>
      </c>
      <c r="C33" s="74"/>
      <c r="D33" s="97" t="s">
        <v>79</v>
      </c>
      <c r="E33" s="73"/>
      <c r="F33" s="73"/>
      <c r="G33" s="74"/>
      <c r="H33" s="51" t="s">
        <v>80</v>
      </c>
    </row>
    <row r="34" spans="1:8" ht="12.75" customHeight="1">
      <c r="A34" s="94"/>
      <c r="B34" s="93"/>
      <c r="C34" s="74"/>
      <c r="D34" s="97"/>
      <c r="E34" s="73"/>
      <c r="F34" s="73"/>
      <c r="G34" s="74"/>
      <c r="H34" s="52"/>
    </row>
    <row r="35" spans="1:8" ht="12.75" customHeight="1">
      <c r="A35" s="96"/>
      <c r="B35" s="93"/>
      <c r="C35" s="74"/>
      <c r="D35" s="97"/>
      <c r="E35" s="73"/>
      <c r="F35" s="73"/>
      <c r="G35" s="74"/>
      <c r="H35" s="52"/>
    </row>
    <row r="36" spans="1:8" ht="12.75" customHeight="1">
      <c r="A36" s="95"/>
      <c r="B36" s="93"/>
      <c r="C36" s="74"/>
      <c r="D36" s="97"/>
      <c r="E36" s="73"/>
      <c r="F36" s="73"/>
      <c r="G36" s="74"/>
      <c r="H36" s="52"/>
    </row>
    <row r="37" spans="1:8" ht="12.75" customHeight="1"/>
    <row r="38" spans="1:8" ht="12.75" customHeight="1"/>
    <row r="39" spans="1:8" ht="12.75" customHeight="1"/>
    <row r="40" spans="1:8" ht="12.75" customHeight="1"/>
    <row r="41" spans="1:8" ht="12.75" customHeight="1"/>
    <row r="42" spans="1:8" ht="12.75" customHeight="1"/>
    <row r="43" spans="1:8" ht="12.75" customHeight="1"/>
    <row r="44" spans="1:8" ht="12.75" customHeight="1"/>
    <row r="45" spans="1:8" ht="12.75" customHeight="1"/>
    <row r="46" spans="1:8" ht="12.75" customHeight="1"/>
    <row r="47" spans="1:8" ht="12.75" customHeight="1"/>
    <row r="48" spans="1: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8">
    <mergeCell ref="D36:G36"/>
    <mergeCell ref="D33:G33"/>
    <mergeCell ref="B34:C34"/>
    <mergeCell ref="D34:G34"/>
    <mergeCell ref="B35:C35"/>
    <mergeCell ref="D35:G35"/>
    <mergeCell ref="A21:A23"/>
    <mergeCell ref="A26:A27"/>
    <mergeCell ref="A30:A31"/>
    <mergeCell ref="A34:A36"/>
    <mergeCell ref="B33:C33"/>
    <mergeCell ref="B36:C36"/>
    <mergeCell ref="B16:C16"/>
    <mergeCell ref="B17:C17"/>
    <mergeCell ref="A19:H19"/>
    <mergeCell ref="B4:C4"/>
    <mergeCell ref="B6:C6"/>
    <mergeCell ref="B8:C8"/>
    <mergeCell ref="A9:A18"/>
    <mergeCell ref="B9:C9"/>
    <mergeCell ref="B10:C10"/>
    <mergeCell ref="B11:C11"/>
    <mergeCell ref="B29:E29"/>
    <mergeCell ref="B30:E30"/>
    <mergeCell ref="B31:E31"/>
    <mergeCell ref="A32:H32"/>
    <mergeCell ref="B1:C1"/>
    <mergeCell ref="D1:E1"/>
    <mergeCell ref="F1:G1"/>
    <mergeCell ref="B2:C2"/>
    <mergeCell ref="A3:A4"/>
    <mergeCell ref="B3:C3"/>
    <mergeCell ref="A5:H5"/>
    <mergeCell ref="A7:H7"/>
    <mergeCell ref="B12:C12"/>
    <mergeCell ref="B13:C13"/>
    <mergeCell ref="B14:C14"/>
    <mergeCell ref="B15:C15"/>
    <mergeCell ref="A24:H24"/>
    <mergeCell ref="B25:C25"/>
    <mergeCell ref="B26:C26"/>
    <mergeCell ref="B27:C27"/>
    <mergeCell ref="A28:H28"/>
    <mergeCell ref="B18:C18"/>
    <mergeCell ref="B20:C20"/>
    <mergeCell ref="B21:C21"/>
    <mergeCell ref="B22:C22"/>
    <mergeCell ref="B23:C23"/>
  </mergeCells>
  <phoneticPr fontId="14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1796875" defaultRowHeight="15" customHeight="1"/>
  <cols>
    <col min="1" max="26" width="8.68359375" customWidth="1"/>
  </cols>
  <sheetData>
    <row r="1" spans="1:8" ht="12.75" customHeight="1">
      <c r="A1" s="59" t="s">
        <v>33</v>
      </c>
      <c r="B1" s="97"/>
      <c r="C1" s="74"/>
      <c r="D1" s="97" t="s">
        <v>25</v>
      </c>
      <c r="E1" s="74"/>
      <c r="F1" s="97" t="s">
        <v>34</v>
      </c>
      <c r="G1" s="74"/>
      <c r="H1" s="40" t="s">
        <v>33</v>
      </c>
    </row>
    <row r="2" spans="1:8" ht="12.75" customHeight="1">
      <c r="A2" s="41" t="s">
        <v>40</v>
      </c>
      <c r="B2" s="93"/>
      <c r="C2" s="74"/>
      <c r="D2" s="42"/>
      <c r="E2" s="42" t="s">
        <v>45</v>
      </c>
      <c r="F2" s="42"/>
      <c r="G2" s="42" t="s">
        <v>46</v>
      </c>
      <c r="H2" s="43">
        <f t="shared" ref="H2:H4" si="0">D2*F2</f>
        <v>0</v>
      </c>
    </row>
    <row r="3" spans="1:8" ht="12.75" customHeight="1">
      <c r="A3" s="94"/>
      <c r="B3" s="93"/>
      <c r="C3" s="74"/>
      <c r="D3" s="42"/>
      <c r="E3" s="42" t="s">
        <v>45</v>
      </c>
      <c r="F3" s="42"/>
      <c r="G3" s="42" t="s">
        <v>46</v>
      </c>
      <c r="H3" s="43">
        <f t="shared" si="0"/>
        <v>0</v>
      </c>
    </row>
    <row r="4" spans="1:8" ht="12.75" customHeight="1">
      <c r="A4" s="95"/>
      <c r="B4" s="93"/>
      <c r="C4" s="74"/>
      <c r="D4" s="42"/>
      <c r="E4" s="42" t="s">
        <v>45</v>
      </c>
      <c r="F4" s="42"/>
      <c r="G4" s="42" t="s">
        <v>46</v>
      </c>
      <c r="H4" s="43">
        <f t="shared" si="0"/>
        <v>0</v>
      </c>
    </row>
    <row r="5" spans="1:8" ht="12.75" customHeight="1">
      <c r="A5" s="103"/>
      <c r="B5" s="104"/>
      <c r="C5" s="104"/>
      <c r="D5" s="104"/>
      <c r="E5" s="104"/>
      <c r="F5" s="104"/>
      <c r="G5" s="104"/>
      <c r="H5" s="104"/>
    </row>
    <row r="6" spans="1:8" ht="12.75" customHeight="1">
      <c r="A6" s="46" t="s">
        <v>61</v>
      </c>
      <c r="B6" s="98" t="s">
        <v>62</v>
      </c>
      <c r="C6" s="73"/>
      <c r="D6" s="73"/>
      <c r="E6" s="74"/>
      <c r="F6" s="42"/>
      <c r="G6" s="42" t="s">
        <v>63</v>
      </c>
    </row>
    <row r="7" spans="1:8" ht="12.75" customHeight="1">
      <c r="A7" s="94"/>
      <c r="B7" s="98" t="s">
        <v>64</v>
      </c>
      <c r="C7" s="73"/>
      <c r="D7" s="73"/>
      <c r="E7" s="74"/>
      <c r="F7" s="42"/>
      <c r="G7" s="42" t="s">
        <v>63</v>
      </c>
    </row>
    <row r="8" spans="1:8" ht="12.75" customHeight="1">
      <c r="A8" s="95"/>
      <c r="B8" s="98" t="s">
        <v>65</v>
      </c>
      <c r="C8" s="73"/>
      <c r="D8" s="73"/>
      <c r="E8" s="74"/>
      <c r="F8" s="42"/>
      <c r="G8" s="42" t="s">
        <v>63</v>
      </c>
    </row>
    <row r="9" spans="1:8" ht="12.75" customHeight="1">
      <c r="A9" s="103"/>
      <c r="B9" s="104"/>
      <c r="C9" s="104"/>
      <c r="D9" s="104"/>
      <c r="E9" s="104"/>
      <c r="F9" s="104"/>
      <c r="G9" s="104"/>
      <c r="H9" s="104"/>
    </row>
    <row r="10" spans="1:8" ht="12.75" customHeight="1">
      <c r="A10" s="46" t="s">
        <v>77</v>
      </c>
      <c r="B10" s="93" t="s">
        <v>78</v>
      </c>
      <c r="C10" s="74"/>
      <c r="D10" s="97" t="s">
        <v>79</v>
      </c>
      <c r="E10" s="73"/>
      <c r="F10" s="73"/>
      <c r="G10" s="74"/>
      <c r="H10" s="51" t="s">
        <v>80</v>
      </c>
    </row>
    <row r="11" spans="1:8" ht="12.75" customHeight="1">
      <c r="A11" s="94"/>
      <c r="B11" s="93"/>
      <c r="C11" s="74"/>
      <c r="D11" s="97"/>
      <c r="E11" s="73"/>
      <c r="F11" s="73"/>
      <c r="G11" s="74"/>
      <c r="H11" s="52"/>
    </row>
    <row r="12" spans="1:8" ht="12.75" customHeight="1">
      <c r="A12" s="95"/>
      <c r="B12" s="93"/>
      <c r="C12" s="74"/>
      <c r="D12" s="97"/>
      <c r="E12" s="73"/>
      <c r="F12" s="73"/>
      <c r="G12" s="74"/>
      <c r="H12" s="52"/>
    </row>
    <row r="13" spans="1:8" ht="12.75" customHeight="1">
      <c r="B13" s="111"/>
      <c r="C13" s="62"/>
      <c r="D13" s="111"/>
      <c r="E13" s="62"/>
      <c r="F13" s="62"/>
      <c r="G13" s="62"/>
      <c r="H13" s="60"/>
    </row>
    <row r="14" spans="1:8" ht="12.75" customHeight="1"/>
    <row r="15" spans="1:8" ht="12.75" customHeight="1"/>
    <row r="16" spans="1:8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2">
    <mergeCell ref="B13:C13"/>
    <mergeCell ref="D13:G13"/>
    <mergeCell ref="A5:H5"/>
    <mergeCell ref="B6:E6"/>
    <mergeCell ref="B7:E7"/>
    <mergeCell ref="B8:E8"/>
    <mergeCell ref="A9:H9"/>
    <mergeCell ref="B10:C10"/>
    <mergeCell ref="D10:G10"/>
    <mergeCell ref="A7:A8"/>
    <mergeCell ref="A11:A12"/>
    <mergeCell ref="B11:C11"/>
    <mergeCell ref="D11:G11"/>
    <mergeCell ref="B12:C12"/>
    <mergeCell ref="D12:G12"/>
    <mergeCell ref="B1:C1"/>
    <mergeCell ref="D1:E1"/>
    <mergeCell ref="F1:G1"/>
    <mergeCell ref="B2:C2"/>
    <mergeCell ref="A3:A4"/>
    <mergeCell ref="B3:C3"/>
    <mergeCell ref="B4:C4"/>
  </mergeCells>
  <phoneticPr fontId="1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見積書</vt:lpstr>
      <vt:lpstr>TEC</vt:lpstr>
      <vt:lpstr>MFDｃ</vt:lpstr>
      <vt:lpstr>エッチング</vt:lpstr>
      <vt:lpstr>テーパ</vt:lpstr>
      <vt:lpstr>その他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Nobuyuki Ishihara</cp:lastModifiedBy>
  <dcterms:modified xsi:type="dcterms:W3CDTF">2026-02-19T12:42:48Z</dcterms:modified>
</cp:coreProperties>
</file>